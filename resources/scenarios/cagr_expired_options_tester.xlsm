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c6c4fa23e8554257" Type="http://schemas.microsoft.com/office/2007/relationships/ui/extensibility" Target="customUI/customUI14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showObjects="placeholders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finge\PycharmProjects\EbfData\resources\scenarios\"/>
    </mc:Choice>
  </mc:AlternateContent>
  <xr:revisionPtr revIDLastSave="0" documentId="13_ncr:1_{3889AE91-E310-4725-B2B6-944331ACEDA7}" xr6:coauthVersionLast="47" xr6:coauthVersionMax="47" xr10:uidLastSave="{00000000-0000-0000-0000-000000000000}"/>
  <bookViews>
    <workbookView xWindow="-120" yWindow="-120" windowWidth="51840" windowHeight="21120" xr2:uid="{00000000-000D-0000-FFFF-FFFF00000000}"/>
  </bookViews>
  <sheets>
    <sheet name="CAGR" sheetId="7" r:id="rId1"/>
    <sheet name="AutoFilters" sheetId="8" r:id="rId2"/>
    <sheet name="Views" sheetId="11" state="hidden" r:id="rId3"/>
    <sheet name="Groupings" sheetId="9" state="hidden" r:id="rId4"/>
    <sheet name="UiSettings" sheetId="10" state="hidden" r:id="rId5"/>
  </sheets>
  <functionGroups builtInGroupCount="19"/>
  <externalReferences>
    <externalReference r:id="rId6"/>
  </externalReferences>
  <definedNames>
    <definedName name="_CagrColumns">CagrTable[#Headers]</definedName>
    <definedName name="_DAYS_IN_YEAR">365.25</definedName>
    <definedName name="_xlnm._FilterDatabase" localSheetId="0" hidden="1">CAGR!$A$7:$CU$73</definedName>
    <definedName name="_FilterSpecs">INDEX(tblFilters[Spec Name],1,1):INDEX(tblFilters[Spec Name],COUNTA(tblFilters[Spec Name]))</definedName>
    <definedName name="_GroupNames">INDEX(tblGroupNames[Name],1,1):INDEX(tblGroupNames[Name],COUNTA(tblGroupNames[Name]))</definedName>
    <definedName name="_Hlk139279630" localSheetId="0">CAGR!#REF!</definedName>
    <definedName name="_OPEN_ENDED_TRADE_VALUE" localSheetId="0">"""open"""</definedName>
    <definedName name="_PositionTypes">[1]!Choices_PositionTypes</definedName>
    <definedName name="_TargetBias_ShortTerm">[1]!Choices_ShortTermOutlook</definedName>
    <definedName name="_Total_ACB_Shares" comment="The share quantity we use to calculated weighted ACB" localSheetId="0">CAGR!$T$84</definedName>
    <definedName name="_VARIOUS_TRADES" localSheetId="0">"various"</definedName>
    <definedName name="_VisibleRowsOnly" localSheetId="0">CagrTable[Visible]=1</definedName>
    <definedName name="_xlpm.r" hidden="1" xlm="1">#NAME?</definedName>
    <definedName name="_xlpm.trades" hidden="1" xlm="1">#NAME?</definedName>
    <definedName name="_xlpm.uniques" hidden="1" xlm="1">#NAME?</definedName>
    <definedName name="_xlpm.visibles" hidden="1" xlm="1">#NAME?</definedName>
    <definedName name="AllActivePositions" comment="Filters out any positions that are not active" localSheetId="1">AutoFilters!$C$4:$C$5</definedName>
    <definedName name="CashPotential" localSheetId="0">CAGR!$I$87</definedName>
    <definedName name="CashRealized" localSheetId="0">CAGR!$I$86</definedName>
    <definedName name="CashTacticallyAvailable" localSheetId="0">CAGR!$I$89</definedName>
    <definedName name="CashUnrealized" localSheetId="0">CAGR!$I$88</definedName>
    <definedName name="CoveredCallExpirationAnalysis" localSheetId="1">AutoFilters!$C$6:$D$8</definedName>
    <definedName name="_xlnm.Criteria" localSheetId="0">CAGR!$A$3:$BY$4</definedName>
    <definedName name="EbfCriteriaOps">[1]!Choices_EbfCriteriaOp</definedName>
    <definedName name="HasOpenTrades" localSheetId="0">CAGR!$N$75</definedName>
    <definedName name="IsSingleSymbol" localSheetId="0">CAGR!SymbolVisible &lt;&gt;"various"</definedName>
    <definedName name="LngOnly" localSheetId="1">AutoFilters!$C$10:$C$10</definedName>
    <definedName name="MacdCrossing" comment="DataList">[1]!Choices_MacdCrossing</definedName>
    <definedName name="MacdTrend" comment="DataList">[1]!Choices_MacdDirection</definedName>
    <definedName name="MC_Basis" localSheetId="0">CAGR!$L$87</definedName>
    <definedName name="MockToday">CAGR!$A$5</definedName>
    <definedName name="Net_Prem_Total" localSheetId="0">CAGR!#REF!</definedName>
    <definedName name="OpenShareEquivalents" localSheetId="0">CAGR!$I$84</definedName>
    <definedName name="PerfBasis" localSheetId="0">CAGR!$L$83</definedName>
    <definedName name="PerfDate_End" localSheetId="0">CAGR!$L$80</definedName>
    <definedName name="PerfDate_Start" localSheetId="0">CAGR!$L$79</definedName>
    <definedName name="PerfGainLoss" localSheetId="0">CAGR!$L$85</definedName>
    <definedName name="PerfProceeds" localSheetId="0">CAGR!$L$84</definedName>
    <definedName name="PerfRoi_Annualized" localSheetId="0">CAGR!$L$90</definedName>
    <definedName name="PerfRoi_CAGR" localSheetId="0">CAGR!$L$91</definedName>
    <definedName name="PerfRoi_Simple" localSheetId="0">CAGR!$L$89</definedName>
    <definedName name="PerfTerm_Days" localSheetId="0">CAGR!$L$81</definedName>
    <definedName name="PerfTerm_Years" localSheetId="0">CAGR!$L$82</definedName>
    <definedName name="PositionDirection">[1]!Choices_PositionDirection</definedName>
    <definedName name="ProjectedEndingValue" localSheetId="0">CAGR!$Q$93</definedName>
    <definedName name="Simple_ROI">#REF!</definedName>
    <definedName name="Stochastic_Kpct" comment="DataList">[1]!Choices_StochasticK_Pct</definedName>
    <definedName name="SymbolVisible" localSheetId="0">CAGR!$L$75</definedName>
    <definedName name="TacticalAcb" localSheetId="0">CAGR!$I$91</definedName>
    <definedName name="TacticalBasis" localSheetId="0">CAGR!$I$83</definedName>
    <definedName name="TacticalEnd" localSheetId="0">CAGR!$I$80</definedName>
    <definedName name="TacticalGainLoss" localSheetId="0">CAGR!$Q$92</definedName>
    <definedName name="TacticalStart" localSheetId="0">CAGR!$I$79</definedName>
    <definedName name="TacticalTerm_Days" localSheetId="0">CAGR!$I$81</definedName>
    <definedName name="TacticalTerm_Years" localSheetId="0">CAGR!$I$82</definedName>
    <definedName name="TaxBasis" localSheetId="0">CAGR!$O$83</definedName>
    <definedName name="TaxDate_End" localSheetId="0">CAGR!$O$80</definedName>
    <definedName name="TaxDate_Start" localSheetId="0">CAGR!$O$79</definedName>
    <definedName name="TaxGainLoss" localSheetId="0">CAGR!$O$85</definedName>
    <definedName name="TaxProceeds" localSheetId="0">CAGR!$O$84</definedName>
    <definedName name="TaxTerm_Days" localSheetId="0">CAGR!$O$81</definedName>
    <definedName name="TaxTerm_Years" localSheetId="0">CAGR!$O$82</definedName>
    <definedName name="TotalBasis" localSheetId="0">CAGR!$Q$117</definedName>
    <definedName name="TrendDirection" comment="DataList">[1]!Choices_Trend</definedName>
    <definedName name="Volume" comment="DataList">[1]!Choices_Volume</definedName>
    <definedName name="XlAutoFilterOps">[1]!Choices_XlAutoFilterOp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4" i="7" l="1"/>
  <c r="I44" i="7"/>
  <c r="L44" i="7"/>
  <c r="R44" i="7"/>
  <c r="S44" i="7" s="1"/>
  <c r="Z44" i="7"/>
  <c r="AA44" i="7"/>
  <c r="AC44" i="7"/>
  <c r="AD44" i="7"/>
  <c r="AO44" i="7" s="1"/>
  <c r="AE44" i="7"/>
  <c r="AK44" i="7" s="1"/>
  <c r="AF44" i="7"/>
  <c r="AG44" i="7"/>
  <c r="AH44" i="7"/>
  <c r="AI44" i="7"/>
  <c r="AJ44" i="7"/>
  <c r="AV44" i="7" s="1"/>
  <c r="AN44" i="7"/>
  <c r="AQ44" i="7"/>
  <c r="BS44" i="7"/>
  <c r="BA44" i="7" l="1"/>
  <c r="AU44" i="7"/>
  <c r="M44" i="7" s="1"/>
  <c r="AZ44" i="7"/>
  <c r="AB44" i="7"/>
  <c r="AL44" i="7"/>
  <c r="BL44" i="7"/>
  <c r="BM44" i="7"/>
  <c r="BD44" i="7"/>
  <c r="AX44" i="7"/>
  <c r="BC44" i="7"/>
  <c r="BB44" i="7"/>
  <c r="AM44" i="7"/>
  <c r="BK44" i="7" s="1"/>
  <c r="BF44" i="7" l="1"/>
  <c r="BE44" i="7"/>
  <c r="BJ44" i="7"/>
  <c r="AP44" i="7"/>
  <c r="AR44" i="7"/>
  <c r="BG44" i="7" l="1"/>
  <c r="BH44" i="7"/>
  <c r="AS44" i="7"/>
  <c r="AT44" i="7"/>
  <c r="E34" i="7"/>
  <c r="I34" i="7"/>
  <c r="L34" i="7"/>
  <c r="R34" i="7"/>
  <c r="S34" i="7" s="1"/>
  <c r="Z34" i="7"/>
  <c r="AA34" i="7"/>
  <c r="AC34" i="7"/>
  <c r="AD34" i="7"/>
  <c r="AO34" i="7" s="1"/>
  <c r="AE34" i="7"/>
  <c r="AK34" i="7" s="1"/>
  <c r="AF34" i="7"/>
  <c r="AG34" i="7"/>
  <c r="AH34" i="7"/>
  <c r="AI34" i="7"/>
  <c r="AJ34" i="7"/>
  <c r="AN34" i="7"/>
  <c r="AQ34" i="7"/>
  <c r="BS34" i="7"/>
  <c r="E31" i="7"/>
  <c r="I31" i="7"/>
  <c r="L31" i="7"/>
  <c r="R31" i="7"/>
  <c r="S31" i="7" s="1"/>
  <c r="Z31" i="7"/>
  <c r="AA31" i="7"/>
  <c r="AC31" i="7"/>
  <c r="AD31" i="7"/>
  <c r="AO31" i="7" s="1"/>
  <c r="AE31" i="7"/>
  <c r="AK31" i="7" s="1"/>
  <c r="AF31" i="7"/>
  <c r="AG31" i="7"/>
  <c r="AH31" i="7"/>
  <c r="AI31" i="7"/>
  <c r="AJ31" i="7"/>
  <c r="AV31" i="7" s="1"/>
  <c r="AN31" i="7"/>
  <c r="AQ31" i="7"/>
  <c r="BS31" i="7"/>
  <c r="E30" i="7"/>
  <c r="I30" i="7"/>
  <c r="L30" i="7"/>
  <c r="R30" i="7"/>
  <c r="S30" i="7" s="1"/>
  <c r="Z30" i="7"/>
  <c r="AA30" i="7"/>
  <c r="AC30" i="7"/>
  <c r="AD30" i="7"/>
  <c r="AO30" i="7" s="1"/>
  <c r="AE30" i="7"/>
  <c r="AK30" i="7" s="1"/>
  <c r="AF30" i="7"/>
  <c r="AG30" i="7"/>
  <c r="AH30" i="7"/>
  <c r="AI30" i="7"/>
  <c r="AJ30" i="7"/>
  <c r="AV30" i="7" s="1"/>
  <c r="AN30" i="7"/>
  <c r="AQ30" i="7"/>
  <c r="BS30" i="7"/>
  <c r="K72" i="7"/>
  <c r="E47" i="7"/>
  <c r="I47" i="7"/>
  <c r="L47" i="7"/>
  <c r="R47" i="7"/>
  <c r="S47" i="7" s="1"/>
  <c r="Z47" i="7"/>
  <c r="AB47" i="7" s="1"/>
  <c r="AA47" i="7"/>
  <c r="AC47" i="7"/>
  <c r="AD47" i="7"/>
  <c r="AO47" i="7" s="1"/>
  <c r="AE47" i="7"/>
  <c r="AK47" i="7" s="1"/>
  <c r="AF47" i="7"/>
  <c r="AG47" i="7"/>
  <c r="AH47" i="7"/>
  <c r="AI47" i="7"/>
  <c r="AJ47" i="7"/>
  <c r="AN47" i="7"/>
  <c r="AQ47" i="7"/>
  <c r="BS47" i="7"/>
  <c r="E42" i="7"/>
  <c r="I42" i="7"/>
  <c r="L42" i="7"/>
  <c r="R42" i="7"/>
  <c r="S42" i="7" s="1"/>
  <c r="Z42" i="7"/>
  <c r="AA42" i="7"/>
  <c r="AC42" i="7"/>
  <c r="BC42" i="7" s="1"/>
  <c r="AD42" i="7"/>
  <c r="AO42" i="7" s="1"/>
  <c r="AE42" i="7"/>
  <c r="AK42" i="7" s="1"/>
  <c r="AF42" i="7"/>
  <c r="AG42" i="7"/>
  <c r="BD42" i="7" s="1"/>
  <c r="AH42" i="7"/>
  <c r="AI42" i="7"/>
  <c r="AJ42" i="7"/>
  <c r="AN42" i="7"/>
  <c r="AQ42" i="7"/>
  <c r="BS42" i="7"/>
  <c r="BI44" i="7" l="1"/>
  <c r="BQ44" i="7" s="1"/>
  <c r="BA34" i="7"/>
  <c r="AV34" i="7"/>
  <c r="BA31" i="7"/>
  <c r="AZ34" i="7"/>
  <c r="AB34" i="7"/>
  <c r="BL34" i="7"/>
  <c r="AU34" i="7"/>
  <c r="AL34" i="7"/>
  <c r="AW34" i="7"/>
  <c r="BM34" i="7"/>
  <c r="AX34" i="7"/>
  <c r="BD34" i="7"/>
  <c r="BC34" i="7"/>
  <c r="BB34" i="7"/>
  <c r="AM34" i="7"/>
  <c r="BK34" i="7" s="1"/>
  <c r="AZ31" i="7"/>
  <c r="AB31" i="7"/>
  <c r="BL31" i="7"/>
  <c r="AU31" i="7"/>
  <c r="AL31" i="7"/>
  <c r="AX31" i="7"/>
  <c r="BM31" i="7"/>
  <c r="BD31" i="7"/>
  <c r="BC31" i="7"/>
  <c r="BB31" i="7"/>
  <c r="AM31" i="7"/>
  <c r="BA30" i="7"/>
  <c r="AB30" i="7"/>
  <c r="AZ30" i="7"/>
  <c r="BM30" i="7"/>
  <c r="AU30" i="7"/>
  <c r="AL30" i="7"/>
  <c r="AX30" i="7"/>
  <c r="BL30" i="7"/>
  <c r="BD30" i="7"/>
  <c r="BC30" i="7"/>
  <c r="BB30" i="7"/>
  <c r="AM30" i="7"/>
  <c r="BK30" i="7" s="1"/>
  <c r="AZ47" i="7"/>
  <c r="AV47" i="7"/>
  <c r="AW47" i="7"/>
  <c r="AL47" i="7"/>
  <c r="AX47" i="7"/>
  <c r="AU47" i="7"/>
  <c r="BL47" i="7"/>
  <c r="BD47" i="7"/>
  <c r="BL42" i="7"/>
  <c r="BC47" i="7"/>
  <c r="BM47" i="7"/>
  <c r="AM42" i="7"/>
  <c r="BE42" i="7" s="1"/>
  <c r="BB47" i="7"/>
  <c r="AM47" i="7"/>
  <c r="BK47" i="7" s="1"/>
  <c r="BA47" i="7"/>
  <c r="BM42" i="7"/>
  <c r="BB42" i="7"/>
  <c r="AB42" i="7"/>
  <c r="BA42" i="7"/>
  <c r="AZ42" i="7"/>
  <c r="AL42" i="7"/>
  <c r="AV42" i="7"/>
  <c r="AX42" i="7"/>
  <c r="AU42" i="7"/>
  <c r="M42" i="7" s="1"/>
  <c r="AY34" i="7" l="1" a="1"/>
  <c r="AY34" i="7" s="1"/>
  <c r="M34" i="7" s="1"/>
  <c r="BF34" i="7"/>
  <c r="BE34" i="7"/>
  <c r="AP34" i="7"/>
  <c r="AR34" i="7"/>
  <c r="BJ34" i="7"/>
  <c r="BF31" i="7"/>
  <c r="BE31" i="7"/>
  <c r="AP31" i="7"/>
  <c r="AR31" i="7"/>
  <c r="BJ31" i="7"/>
  <c r="BF30" i="7"/>
  <c r="BE30" i="7"/>
  <c r="AP30" i="7"/>
  <c r="AR30" i="7"/>
  <c r="BJ30" i="7"/>
  <c r="AY47" i="7" a="1"/>
  <c r="AY47" i="7" s="1"/>
  <c r="M47" i="7" s="1"/>
  <c r="BF42" i="7"/>
  <c r="BF47" i="7"/>
  <c r="BE47" i="7"/>
  <c r="BJ47" i="7"/>
  <c r="AP47" i="7"/>
  <c r="AR47" i="7"/>
  <c r="AP42" i="7"/>
  <c r="BJ42" i="7"/>
  <c r="AR42" i="7"/>
  <c r="BG34" i="7" l="1"/>
  <c r="BH34" i="7"/>
  <c r="AS34" i="7"/>
  <c r="AT34" i="7"/>
  <c r="BG31" i="7"/>
  <c r="BH31" i="7"/>
  <c r="AS31" i="7"/>
  <c r="AT31" i="7"/>
  <c r="AS30" i="7"/>
  <c r="AT30" i="7"/>
  <c r="BH30" i="7"/>
  <c r="BG30" i="7"/>
  <c r="BH47" i="7"/>
  <c r="BG47" i="7"/>
  <c r="AS47" i="7"/>
  <c r="AT47" i="7"/>
  <c r="BQ47" i="7"/>
  <c r="BG42" i="7"/>
  <c r="BH42" i="7"/>
  <c r="AT42" i="7"/>
  <c r="AS42" i="7"/>
  <c r="BI30" i="7" l="1"/>
  <c r="BQ30" i="7" s="1"/>
  <c r="BI34" i="7"/>
  <c r="BQ34" i="7" s="1"/>
  <c r="BI31" i="7"/>
  <c r="BI47" i="7"/>
  <c r="BI42" i="7"/>
  <c r="BK31" i="7" l="1"/>
  <c r="BQ31" i="7"/>
  <c r="BK42" i="7"/>
  <c r="BQ42" i="7"/>
  <c r="E71" i="7" l="1"/>
  <c r="I71" i="7"/>
  <c r="L71" i="7"/>
  <c r="R71" i="7"/>
  <c r="S71" i="7" s="1"/>
  <c r="Z71" i="7"/>
  <c r="AA71" i="7"/>
  <c r="AC71" i="7"/>
  <c r="AD71" i="7"/>
  <c r="AO71" i="7" s="1"/>
  <c r="AE71" i="7"/>
  <c r="AK71" i="7" s="1"/>
  <c r="AF71" i="7"/>
  <c r="AG71" i="7"/>
  <c r="AH71" i="7"/>
  <c r="AI71" i="7"/>
  <c r="AJ71" i="7"/>
  <c r="AV71" i="7" s="1"/>
  <c r="AN71" i="7"/>
  <c r="AQ71" i="7"/>
  <c r="BS71" i="7"/>
  <c r="E29" i="7"/>
  <c r="I29" i="7"/>
  <c r="L29" i="7"/>
  <c r="R29" i="7"/>
  <c r="S29" i="7" s="1"/>
  <c r="Z29" i="7"/>
  <c r="AA29" i="7"/>
  <c r="AC29" i="7"/>
  <c r="BC29" i="7" s="1"/>
  <c r="AD29" i="7"/>
  <c r="AO29" i="7" s="1"/>
  <c r="AE29" i="7"/>
  <c r="AK29" i="7" s="1"/>
  <c r="AF29" i="7"/>
  <c r="AG29" i="7"/>
  <c r="BD29" i="7" s="1"/>
  <c r="AH29" i="7"/>
  <c r="AI29" i="7"/>
  <c r="AJ29" i="7"/>
  <c r="AV29" i="7" s="1"/>
  <c r="AN29" i="7"/>
  <c r="AQ29" i="7"/>
  <c r="BS29" i="7"/>
  <c r="AB71" i="7" l="1"/>
  <c r="AU71" i="7"/>
  <c r="M71" i="7" s="1"/>
  <c r="AZ71" i="7"/>
  <c r="BL71" i="7"/>
  <c r="AL71" i="7"/>
  <c r="AX71" i="7"/>
  <c r="BM71" i="7"/>
  <c r="BD71" i="7"/>
  <c r="BC71" i="7"/>
  <c r="BB71" i="7"/>
  <c r="AM71" i="7"/>
  <c r="BK71" i="7" s="1"/>
  <c r="BA71" i="7"/>
  <c r="BB29" i="7"/>
  <c r="AB29" i="7"/>
  <c r="BL29" i="7"/>
  <c r="AZ29" i="7"/>
  <c r="BM29" i="7"/>
  <c r="AU29" i="7"/>
  <c r="BA29" i="7"/>
  <c r="AM29" i="7"/>
  <c r="BE29" i="7" s="1"/>
  <c r="AL29" i="7"/>
  <c r="AX29" i="7"/>
  <c r="BF71" i="7" l="1"/>
  <c r="BE71" i="7"/>
  <c r="BJ71" i="7"/>
  <c r="AP71" i="7"/>
  <c r="AR71" i="7"/>
  <c r="BF29" i="7"/>
  <c r="AR29" i="7"/>
  <c r="AP29" i="7"/>
  <c r="BJ29" i="7"/>
  <c r="AS71" i="7" l="1"/>
  <c r="AT71" i="7"/>
  <c r="BH71" i="7"/>
  <c r="BG71" i="7"/>
  <c r="AT29" i="7"/>
  <c r="AS29" i="7"/>
  <c r="BG29" i="7"/>
  <c r="BH29" i="7"/>
  <c r="BI71" i="7" l="1"/>
  <c r="BQ71" i="7" s="1"/>
  <c r="BI29" i="7"/>
  <c r="BK29" i="7" s="1"/>
  <c r="BQ29" i="7" l="1"/>
  <c r="AN8" i="7" l="1"/>
  <c r="AN12" i="7"/>
  <c r="AN9" i="7"/>
  <c r="AN10" i="7"/>
  <c r="AN11" i="7"/>
  <c r="AN13" i="7"/>
  <c r="AN14" i="7"/>
  <c r="AN15" i="7"/>
  <c r="AN16" i="7"/>
  <c r="AN19" i="7"/>
  <c r="AN18" i="7"/>
  <c r="AN17" i="7"/>
  <c r="AN20" i="7"/>
  <c r="AN21" i="7"/>
  <c r="AN22" i="7"/>
  <c r="AN23" i="7"/>
  <c r="AN24" i="7"/>
  <c r="AN25" i="7"/>
  <c r="AN26" i="7"/>
  <c r="AN27" i="7"/>
  <c r="AN28" i="7"/>
  <c r="AN32" i="7"/>
  <c r="AN33" i="7"/>
  <c r="AN35" i="7"/>
  <c r="AN36" i="7"/>
  <c r="AN37" i="7"/>
  <c r="AN38" i="7"/>
  <c r="AN39" i="7"/>
  <c r="AN40" i="7"/>
  <c r="AN46" i="7"/>
  <c r="AN41" i="7"/>
  <c r="AN45" i="7"/>
  <c r="AN43" i="7"/>
  <c r="AN48" i="7"/>
  <c r="AN49" i="7"/>
  <c r="AN50" i="7"/>
  <c r="AN51" i="7"/>
  <c r="AN52" i="7"/>
  <c r="AN53" i="7"/>
  <c r="AN54" i="7"/>
  <c r="AN55" i="7"/>
  <c r="AN56" i="7"/>
  <c r="AN57" i="7"/>
  <c r="AN58" i="7"/>
  <c r="AN59" i="7"/>
  <c r="AN60" i="7"/>
  <c r="AN61" i="7"/>
  <c r="AN62" i="7"/>
  <c r="AN63" i="7"/>
  <c r="AN64" i="7"/>
  <c r="AN65" i="7"/>
  <c r="AN66" i="7"/>
  <c r="AN67" i="7"/>
  <c r="AN68" i="7"/>
  <c r="AN69" i="7"/>
  <c r="AN70" i="7"/>
  <c r="AN72" i="7"/>
  <c r="E43" i="7" l="1"/>
  <c r="I43" i="7"/>
  <c r="L43" i="7"/>
  <c r="R43" i="7"/>
  <c r="S43" i="7" s="1"/>
  <c r="Z43" i="7"/>
  <c r="AA43" i="7"/>
  <c r="AC43" i="7"/>
  <c r="AD43" i="7"/>
  <c r="AO43" i="7" s="1"/>
  <c r="AE43" i="7"/>
  <c r="AK43" i="7" s="1"/>
  <c r="AF43" i="7"/>
  <c r="AG43" i="7"/>
  <c r="AH43" i="7"/>
  <c r="AI43" i="7"/>
  <c r="AJ43" i="7"/>
  <c r="AQ43" i="7"/>
  <c r="BS43" i="7"/>
  <c r="K46" i="7"/>
  <c r="E18" i="7"/>
  <c r="I18" i="7"/>
  <c r="L18" i="7"/>
  <c r="R18" i="7"/>
  <c r="S18" i="7" s="1"/>
  <c r="Z18" i="7"/>
  <c r="AA18" i="7"/>
  <c r="AC18" i="7"/>
  <c r="AD18" i="7"/>
  <c r="AO18" i="7" s="1"/>
  <c r="AE18" i="7"/>
  <c r="AK18" i="7" s="1"/>
  <c r="AF18" i="7"/>
  <c r="AG18" i="7"/>
  <c r="AH18" i="7"/>
  <c r="AI18" i="7"/>
  <c r="AJ18" i="7"/>
  <c r="AV18" i="7" s="1"/>
  <c r="AQ18" i="7"/>
  <c r="BS18" i="7"/>
  <c r="E28" i="7"/>
  <c r="I28" i="7"/>
  <c r="L28" i="7"/>
  <c r="R28" i="7"/>
  <c r="S28" i="7" s="1"/>
  <c r="Z28" i="7"/>
  <c r="AA28" i="7"/>
  <c r="AC28" i="7"/>
  <c r="AD28" i="7"/>
  <c r="AO28" i="7" s="1"/>
  <c r="AE28" i="7"/>
  <c r="AK28" i="7" s="1"/>
  <c r="AF28" i="7"/>
  <c r="AG28" i="7"/>
  <c r="AH28" i="7"/>
  <c r="AI28" i="7"/>
  <c r="AJ28" i="7"/>
  <c r="AQ28" i="7"/>
  <c r="BS28" i="7"/>
  <c r="BA43" i="7" l="1"/>
  <c r="AU43" i="7"/>
  <c r="BL43" i="7"/>
  <c r="AZ43" i="7"/>
  <c r="AB43" i="7"/>
  <c r="AV43" i="7"/>
  <c r="AL43" i="7"/>
  <c r="AX43" i="7"/>
  <c r="BD43" i="7"/>
  <c r="BC43" i="7"/>
  <c r="BM43" i="7"/>
  <c r="BB43" i="7"/>
  <c r="AM43" i="7"/>
  <c r="BK43" i="7" s="1"/>
  <c r="BA18" i="7"/>
  <c r="BL18" i="7"/>
  <c r="AZ18" i="7"/>
  <c r="AB18" i="7"/>
  <c r="AU18" i="7"/>
  <c r="AL18" i="7"/>
  <c r="BM18" i="7"/>
  <c r="AX18" i="7"/>
  <c r="BD18" i="7"/>
  <c r="BC18" i="7"/>
  <c r="BB18" i="7"/>
  <c r="AM18" i="7"/>
  <c r="BK18" i="7" s="1"/>
  <c r="BL28" i="7"/>
  <c r="BM28" i="7"/>
  <c r="BA28" i="7"/>
  <c r="AU28" i="7"/>
  <c r="AZ28" i="7"/>
  <c r="AB28" i="7"/>
  <c r="AV28" i="7"/>
  <c r="AX28" i="7"/>
  <c r="AL28" i="7"/>
  <c r="BD28" i="7"/>
  <c r="BC28" i="7"/>
  <c r="BB28" i="7"/>
  <c r="AM28" i="7"/>
  <c r="BE43" i="7" l="1"/>
  <c r="BF43" i="7"/>
  <c r="BJ43" i="7"/>
  <c r="AP43" i="7"/>
  <c r="AR43" i="7"/>
  <c r="BF18" i="7"/>
  <c r="BE18" i="7"/>
  <c r="AP18" i="7"/>
  <c r="BJ18" i="7"/>
  <c r="AR18" i="7"/>
  <c r="BE28" i="7"/>
  <c r="BF28" i="7"/>
  <c r="BJ28" i="7"/>
  <c r="AP28" i="7"/>
  <c r="AR28" i="7"/>
  <c r="BG43" i="7" l="1"/>
  <c r="BH43" i="7"/>
  <c r="AS43" i="7"/>
  <c r="AT43" i="7"/>
  <c r="BG18" i="7"/>
  <c r="BH18" i="7"/>
  <c r="AS18" i="7"/>
  <c r="AT18" i="7"/>
  <c r="AS28" i="7"/>
  <c r="AT28" i="7"/>
  <c r="BH28" i="7"/>
  <c r="BG28" i="7"/>
  <c r="BI43" i="7" l="1"/>
  <c r="BQ43" i="7" s="1"/>
  <c r="BI18" i="7"/>
  <c r="BQ18" i="7" s="1"/>
  <c r="BI28" i="7"/>
  <c r="BK28" i="7" l="1"/>
  <c r="BQ28" i="7"/>
  <c r="E27" i="7" l="1"/>
  <c r="I27" i="7"/>
  <c r="L27" i="7"/>
  <c r="R27" i="7"/>
  <c r="S27" i="7" s="1"/>
  <c r="Z27" i="7"/>
  <c r="AA27" i="7"/>
  <c r="AC27" i="7"/>
  <c r="AD27" i="7"/>
  <c r="AO27" i="7" s="1"/>
  <c r="AE27" i="7"/>
  <c r="AK27" i="7" s="1"/>
  <c r="AF27" i="7"/>
  <c r="AG27" i="7"/>
  <c r="AH27" i="7"/>
  <c r="AI27" i="7"/>
  <c r="AJ27" i="7"/>
  <c r="AQ27" i="7"/>
  <c r="BS27" i="7"/>
  <c r="E70" i="7"/>
  <c r="I70" i="7"/>
  <c r="L70" i="7"/>
  <c r="R70" i="7"/>
  <c r="S70" i="7" s="1"/>
  <c r="Z70" i="7"/>
  <c r="AA70" i="7"/>
  <c r="AC70" i="7"/>
  <c r="AD70" i="7"/>
  <c r="AO70" i="7" s="1"/>
  <c r="AE70" i="7"/>
  <c r="AK70" i="7" s="1"/>
  <c r="AF70" i="7"/>
  <c r="AG70" i="7"/>
  <c r="AH70" i="7"/>
  <c r="AI70" i="7"/>
  <c r="AJ70" i="7"/>
  <c r="AQ70" i="7"/>
  <c r="BS70" i="7"/>
  <c r="AV27" i="7" l="1"/>
  <c r="BM27" i="7"/>
  <c r="AV70" i="7"/>
  <c r="BM70" i="7"/>
  <c r="AB27" i="7"/>
  <c r="AU27" i="7"/>
  <c r="BA27" i="7"/>
  <c r="BL27" i="7"/>
  <c r="AZ27" i="7"/>
  <c r="AL27" i="7"/>
  <c r="AX27" i="7"/>
  <c r="BD27" i="7"/>
  <c r="BC27" i="7"/>
  <c r="BB27" i="7"/>
  <c r="AM27" i="7"/>
  <c r="BK27" i="7" s="1"/>
  <c r="BL70" i="7"/>
  <c r="BA70" i="7"/>
  <c r="AB70" i="7"/>
  <c r="AZ70" i="7"/>
  <c r="AL70" i="7"/>
  <c r="AU70" i="7"/>
  <c r="AX70" i="7"/>
  <c r="BD70" i="7"/>
  <c r="BC70" i="7"/>
  <c r="BB70" i="7"/>
  <c r="AM70" i="7"/>
  <c r="BK70" i="7" s="1"/>
  <c r="BF27" i="7" l="1"/>
  <c r="BE27" i="7"/>
  <c r="BJ27" i="7"/>
  <c r="AP27" i="7"/>
  <c r="AR27" i="7"/>
  <c r="BF70" i="7"/>
  <c r="BE70" i="7"/>
  <c r="AP70" i="7"/>
  <c r="AR70" i="7"/>
  <c r="BJ70" i="7"/>
  <c r="AS27" i="7" l="1"/>
  <c r="AT27" i="7"/>
  <c r="BH27" i="7"/>
  <c r="BG27" i="7"/>
  <c r="BG70" i="7"/>
  <c r="BH70" i="7"/>
  <c r="AS70" i="7"/>
  <c r="AT70" i="7"/>
  <c r="BI27" i="7" l="1"/>
  <c r="BQ27" i="7" s="1"/>
  <c r="BI70" i="7"/>
  <c r="BQ70" i="7" s="1"/>
  <c r="E22" i="7" l="1"/>
  <c r="I22" i="7"/>
  <c r="L22" i="7"/>
  <c r="R22" i="7"/>
  <c r="S22" i="7" s="1"/>
  <c r="Z22" i="7"/>
  <c r="AA22" i="7"/>
  <c r="AC22" i="7"/>
  <c r="BC22" i="7" s="1"/>
  <c r="AD22" i="7"/>
  <c r="AO22" i="7" s="1"/>
  <c r="AE22" i="7"/>
  <c r="AK22" i="7" s="1"/>
  <c r="AF22" i="7"/>
  <c r="AG22" i="7"/>
  <c r="BD22" i="7" s="1"/>
  <c r="AH22" i="7"/>
  <c r="AI22" i="7"/>
  <c r="AJ22" i="7"/>
  <c r="AQ22" i="7"/>
  <c r="BS22" i="7"/>
  <c r="BM22" i="7" l="1"/>
  <c r="BB22" i="7"/>
  <c r="AB22" i="7"/>
  <c r="AZ22" i="7"/>
  <c r="AL22" i="7"/>
  <c r="BJ22" i="7" s="1"/>
  <c r="BA22" i="7"/>
  <c r="AX22" i="7"/>
  <c r="AU22" i="7"/>
  <c r="AV22" i="7"/>
  <c r="BL22" i="7"/>
  <c r="AM22" i="7"/>
  <c r="BE22" i="7" s="1"/>
  <c r="AR22" i="7" l="1"/>
  <c r="BG22" i="7" s="1"/>
  <c r="AP22" i="7"/>
  <c r="BF22" i="7"/>
  <c r="AT22" i="7"/>
  <c r="BH22" i="7" l="1"/>
  <c r="BI22" i="7" s="1"/>
  <c r="AS22" i="7"/>
  <c r="BK22" i="7" l="1"/>
  <c r="BQ22" i="7"/>
  <c r="AC8" i="7" l="1"/>
  <c r="AC12" i="7"/>
  <c r="AC9" i="7"/>
  <c r="AC10" i="7"/>
  <c r="AC11" i="7"/>
  <c r="AC13" i="7"/>
  <c r="AC14" i="7"/>
  <c r="AC16" i="7"/>
  <c r="AC15" i="7"/>
  <c r="AC17" i="7"/>
  <c r="AC19" i="7"/>
  <c r="AC20" i="7"/>
  <c r="AC21" i="7"/>
  <c r="AC23" i="7"/>
  <c r="AC24" i="7"/>
  <c r="AC25" i="7"/>
  <c r="AC26" i="7"/>
  <c r="AC32" i="7"/>
  <c r="AC33" i="7"/>
  <c r="AC35" i="7"/>
  <c r="AC36" i="7"/>
  <c r="AC37" i="7"/>
  <c r="AC38" i="7"/>
  <c r="AC39" i="7"/>
  <c r="AC40" i="7"/>
  <c r="AC46" i="7"/>
  <c r="AC41" i="7"/>
  <c r="AC45" i="7"/>
  <c r="AC48" i="7"/>
  <c r="AC49" i="7"/>
  <c r="AC50" i="7"/>
  <c r="AC51" i="7"/>
  <c r="AC52" i="7"/>
  <c r="AC53" i="7"/>
  <c r="AC54" i="7"/>
  <c r="AC55" i="7"/>
  <c r="AC56" i="7"/>
  <c r="AC57" i="7"/>
  <c r="AC58" i="7"/>
  <c r="AC59" i="7"/>
  <c r="AC60" i="7"/>
  <c r="AC61" i="7"/>
  <c r="AC62" i="7"/>
  <c r="AC63" i="7"/>
  <c r="AC64" i="7"/>
  <c r="AC65" i="7"/>
  <c r="AC66" i="7"/>
  <c r="AC67" i="7"/>
  <c r="AC68" i="7"/>
  <c r="AC69" i="7"/>
  <c r="AC72" i="7"/>
  <c r="L72" i="7" l="1"/>
  <c r="E72" i="7"/>
  <c r="I72" i="7"/>
  <c r="R72" i="7"/>
  <c r="S72" i="7" s="1"/>
  <c r="Z72" i="7"/>
  <c r="AA72" i="7"/>
  <c r="AD72" i="7"/>
  <c r="AO72" i="7" s="1"/>
  <c r="AE72" i="7"/>
  <c r="AK72" i="7" s="1"/>
  <c r="AF72" i="7"/>
  <c r="AG72" i="7"/>
  <c r="AH72" i="7"/>
  <c r="AI72" i="7"/>
  <c r="AJ72" i="7"/>
  <c r="AQ72" i="7"/>
  <c r="BM72" i="7" l="1"/>
  <c r="BS72" i="7"/>
  <c r="AV72" i="7"/>
  <c r="AU72" i="7"/>
  <c r="BL72" i="7"/>
  <c r="BA72" i="7"/>
  <c r="AB72" i="7"/>
  <c r="AZ72" i="7"/>
  <c r="AW72" i="7"/>
  <c r="AL72" i="7"/>
  <c r="AX72" i="7"/>
  <c r="BD72" i="7"/>
  <c r="BC72" i="7"/>
  <c r="BB72" i="7"/>
  <c r="AM72" i="7"/>
  <c r="BK72" i="7" s="1"/>
  <c r="AY72" i="7" l="1" a="1"/>
  <c r="AY72" i="7" s="1"/>
  <c r="M72" i="7" s="1"/>
  <c r="BF72" i="7"/>
  <c r="BE72" i="7"/>
  <c r="AP72" i="7"/>
  <c r="AR72" i="7"/>
  <c r="BJ72" i="7"/>
  <c r="BG72" i="7" l="1"/>
  <c r="BH72" i="7"/>
  <c r="AS72" i="7"/>
  <c r="AT72" i="7"/>
  <c r="BI72" i="7" l="1"/>
  <c r="BQ72" i="7" s="1"/>
  <c r="E11" i="7" l="1"/>
  <c r="I11" i="7"/>
  <c r="L11" i="7"/>
  <c r="R11" i="7"/>
  <c r="S11" i="7" s="1"/>
  <c r="Z11" i="7"/>
  <c r="AA11" i="7"/>
  <c r="AD11" i="7"/>
  <c r="AO11" i="7" s="1"/>
  <c r="AE11" i="7"/>
  <c r="AK11" i="7" s="1"/>
  <c r="AF11" i="7"/>
  <c r="AG11" i="7"/>
  <c r="AH11" i="7"/>
  <c r="AI11" i="7"/>
  <c r="AJ11" i="7"/>
  <c r="BM11" i="7" s="1"/>
  <c r="AQ11" i="7"/>
  <c r="BS11" i="7"/>
  <c r="E16" i="7"/>
  <c r="I16" i="7"/>
  <c r="L16" i="7"/>
  <c r="R16" i="7"/>
  <c r="S16" i="7" s="1"/>
  <c r="Z16" i="7"/>
  <c r="AA16" i="7"/>
  <c r="AD16" i="7"/>
  <c r="AO16" i="7" s="1"/>
  <c r="AE16" i="7"/>
  <c r="AK16" i="7" s="1"/>
  <c r="AF16" i="7"/>
  <c r="AG16" i="7"/>
  <c r="AH16" i="7"/>
  <c r="AI16" i="7"/>
  <c r="AJ16" i="7"/>
  <c r="AQ16" i="7"/>
  <c r="BS16" i="7"/>
  <c r="K63" i="7"/>
  <c r="BL11" i="7" l="1"/>
  <c r="BL16" i="7"/>
  <c r="BM16" i="7"/>
  <c r="AV11" i="7"/>
  <c r="AU11" i="7"/>
  <c r="BA11" i="7"/>
  <c r="AZ11" i="7"/>
  <c r="AB11" i="7"/>
  <c r="AL11" i="7"/>
  <c r="BD11" i="7"/>
  <c r="AX11" i="7"/>
  <c r="AU16" i="7"/>
  <c r="BC11" i="7"/>
  <c r="BB11" i="7"/>
  <c r="AM11" i="7"/>
  <c r="BK11" i="7" s="1"/>
  <c r="AB16" i="7"/>
  <c r="BA16" i="7"/>
  <c r="AZ16" i="7"/>
  <c r="AV16" i="7"/>
  <c r="AL16" i="7"/>
  <c r="AX16" i="7"/>
  <c r="BD16" i="7"/>
  <c r="BC16" i="7"/>
  <c r="BB16" i="7"/>
  <c r="AM16" i="7"/>
  <c r="BK16" i="7" s="1"/>
  <c r="BF11" i="7" l="1"/>
  <c r="BE11" i="7"/>
  <c r="AP11" i="7"/>
  <c r="AR11" i="7"/>
  <c r="BJ11" i="7"/>
  <c r="BF16" i="7"/>
  <c r="BE16" i="7"/>
  <c r="AP16" i="7"/>
  <c r="AR16" i="7"/>
  <c r="BJ16" i="7"/>
  <c r="BG11" i="7" l="1"/>
  <c r="BH11" i="7"/>
  <c r="AS11" i="7"/>
  <c r="AT11" i="7"/>
  <c r="BG16" i="7"/>
  <c r="BH16" i="7"/>
  <c r="AS16" i="7"/>
  <c r="AT16" i="7"/>
  <c r="BI11" i="7" l="1"/>
  <c r="BQ11" i="7" s="1"/>
  <c r="BI16" i="7"/>
  <c r="BQ16" i="7" s="1"/>
  <c r="E25" i="7" l="1"/>
  <c r="I25" i="7"/>
  <c r="L25" i="7"/>
  <c r="R25" i="7"/>
  <c r="S25" i="7" s="1"/>
  <c r="Z25" i="7"/>
  <c r="AA25" i="7"/>
  <c r="AD25" i="7"/>
  <c r="AO25" i="7" s="1"/>
  <c r="AE25" i="7"/>
  <c r="AK25" i="7" s="1"/>
  <c r="AF25" i="7"/>
  <c r="AG25" i="7"/>
  <c r="AH25" i="7"/>
  <c r="AI25" i="7"/>
  <c r="AJ25" i="7"/>
  <c r="AQ25" i="7"/>
  <c r="BS25" i="7"/>
  <c r="E20" i="7"/>
  <c r="I20" i="7"/>
  <c r="L20" i="7"/>
  <c r="R20" i="7"/>
  <c r="S20" i="7" s="1"/>
  <c r="Z20" i="7"/>
  <c r="AA20" i="7"/>
  <c r="AD20" i="7"/>
  <c r="AO20" i="7" s="1"/>
  <c r="AE20" i="7"/>
  <c r="AK20" i="7" s="1"/>
  <c r="AF20" i="7"/>
  <c r="AG20" i="7"/>
  <c r="AH20" i="7"/>
  <c r="AI20" i="7"/>
  <c r="AJ20" i="7"/>
  <c r="AQ20" i="7"/>
  <c r="BS20" i="7"/>
  <c r="E14" i="7"/>
  <c r="I14" i="7"/>
  <c r="L14" i="7"/>
  <c r="R14" i="7"/>
  <c r="S14" i="7" s="1"/>
  <c r="Z14" i="7"/>
  <c r="AA14" i="7"/>
  <c r="AD14" i="7"/>
  <c r="AO14" i="7" s="1"/>
  <c r="AE14" i="7"/>
  <c r="AK14" i="7" s="1"/>
  <c r="AF14" i="7"/>
  <c r="AG14" i="7"/>
  <c r="AH14" i="7"/>
  <c r="AI14" i="7"/>
  <c r="AJ14" i="7"/>
  <c r="AQ14" i="7"/>
  <c r="BS14" i="7"/>
  <c r="E26" i="7"/>
  <c r="I26" i="7"/>
  <c r="L26" i="7"/>
  <c r="R26" i="7"/>
  <c r="S26" i="7" s="1"/>
  <c r="Z26" i="7"/>
  <c r="AA26" i="7"/>
  <c r="AD26" i="7"/>
  <c r="AO26" i="7" s="1"/>
  <c r="AE26" i="7"/>
  <c r="AK26" i="7" s="1"/>
  <c r="AF26" i="7"/>
  <c r="AG26" i="7"/>
  <c r="AH26" i="7"/>
  <c r="AI26" i="7"/>
  <c r="AJ26" i="7"/>
  <c r="AQ26" i="7"/>
  <c r="BS26" i="7"/>
  <c r="A5" i="7"/>
  <c r="AW44" i="7" l="1"/>
  <c r="AY44" i="7" s="1" a="1"/>
  <c r="AY44" i="7" s="1"/>
  <c r="AW31" i="7"/>
  <c r="AY31" i="7" s="1" a="1"/>
  <c r="AY31" i="7" s="1"/>
  <c r="M31" i="7" s="1"/>
  <c r="AW30" i="7"/>
  <c r="AY30" i="7" s="1" a="1"/>
  <c r="AY30" i="7" s="1"/>
  <c r="M30" i="7" s="1"/>
  <c r="AW42" i="7"/>
  <c r="AY42" i="7" s="1" a="1"/>
  <c r="AY42" i="7" s="1"/>
  <c r="AW29" i="7"/>
  <c r="AY29" i="7" s="1" a="1"/>
  <c r="AY29" i="7" s="1"/>
  <c r="M29" i="7" s="1"/>
  <c r="AW71" i="7"/>
  <c r="AY71" i="7" s="1" a="1"/>
  <c r="AY71" i="7" s="1"/>
  <c r="AW43" i="7"/>
  <c r="AY43" i="7" s="1" a="1"/>
  <c r="AY43" i="7" s="1"/>
  <c r="M43" i="7" s="1"/>
  <c r="AW18" i="7"/>
  <c r="AY18" i="7" s="1" a="1"/>
  <c r="AY18" i="7" s="1"/>
  <c r="M18" i="7" s="1"/>
  <c r="AV25" i="7"/>
  <c r="BM25" i="7"/>
  <c r="AV26" i="7"/>
  <c r="BM26" i="7"/>
  <c r="AV14" i="7"/>
  <c r="BM14" i="7"/>
  <c r="BL20" i="7"/>
  <c r="BM20" i="7"/>
  <c r="AW28" i="7"/>
  <c r="AY28" i="7" s="1" a="1"/>
  <c r="AY28" i="7" s="1"/>
  <c r="M28" i="7" s="1"/>
  <c r="AW70" i="7"/>
  <c r="AY70" i="7" s="1" a="1"/>
  <c r="AY70" i="7" s="1"/>
  <c r="M70" i="7" s="1"/>
  <c r="AW27" i="7"/>
  <c r="AY27" i="7" s="1" a="1"/>
  <c r="AY27" i="7" s="1"/>
  <c r="M27" i="7" s="1"/>
  <c r="AW22" i="7"/>
  <c r="AY22" i="7" s="1" a="1"/>
  <c r="AY22" i="7" s="1"/>
  <c r="M22" i="7" s="1"/>
  <c r="AW16" i="7"/>
  <c r="AY16" i="7" s="1" a="1"/>
  <c r="AY16" i="7" s="1"/>
  <c r="M16" i="7" s="1"/>
  <c r="AW11" i="7"/>
  <c r="AY11" i="7" s="1" a="1"/>
  <c r="AY11" i="7" s="1"/>
  <c r="M11" i="7" s="1"/>
  <c r="AU25" i="7"/>
  <c r="BA25" i="7"/>
  <c r="AW25" i="7"/>
  <c r="AZ25" i="7"/>
  <c r="AB25" i="7"/>
  <c r="AL25" i="7"/>
  <c r="AX25" i="7"/>
  <c r="BD25" i="7"/>
  <c r="BC25" i="7"/>
  <c r="BB25" i="7"/>
  <c r="AM25" i="7"/>
  <c r="AB20" i="7"/>
  <c r="AZ20" i="7"/>
  <c r="AV20" i="7"/>
  <c r="AU20" i="7"/>
  <c r="M20" i="7" s="1"/>
  <c r="BA20" i="7"/>
  <c r="AL20" i="7"/>
  <c r="AW20" i="7"/>
  <c r="BD20" i="7"/>
  <c r="BC20" i="7"/>
  <c r="BB20" i="7"/>
  <c r="AM20" i="7"/>
  <c r="BK20" i="7" s="1"/>
  <c r="AX20" i="7"/>
  <c r="AU14" i="7"/>
  <c r="AX14" i="7"/>
  <c r="BL14" i="7"/>
  <c r="AB14" i="7"/>
  <c r="AZ14" i="7"/>
  <c r="BA14" i="7"/>
  <c r="AL14" i="7"/>
  <c r="BD14" i="7"/>
  <c r="BC14" i="7"/>
  <c r="BB14" i="7"/>
  <c r="AM14" i="7"/>
  <c r="BK14" i="7" s="1"/>
  <c r="AU26" i="7"/>
  <c r="AZ26" i="7"/>
  <c r="AB26" i="7"/>
  <c r="BL26" i="7"/>
  <c r="BA26" i="7"/>
  <c r="AX26" i="7"/>
  <c r="AL26" i="7"/>
  <c r="BD26" i="7"/>
  <c r="BC26" i="7"/>
  <c r="BB26" i="7"/>
  <c r="AM26" i="7"/>
  <c r="BK26" i="7" s="1"/>
  <c r="BL25" i="7" l="1"/>
  <c r="AY25" i="7" a="1"/>
  <c r="AY25" i="7" s="1"/>
  <c r="M25" i="7" s="1"/>
  <c r="BF25" i="7"/>
  <c r="BE25" i="7"/>
  <c r="AP25" i="7"/>
  <c r="AR25" i="7"/>
  <c r="BJ25" i="7"/>
  <c r="AW14" i="7"/>
  <c r="AY14" i="7" s="1" a="1"/>
  <c r="AY14" i="7" s="1"/>
  <c r="M14" i="7" s="1"/>
  <c r="AY20" i="7" a="1"/>
  <c r="AY20" i="7" s="1"/>
  <c r="BF20" i="7"/>
  <c r="BE20" i="7"/>
  <c r="AP20" i="7"/>
  <c r="AR20" i="7"/>
  <c r="BJ20" i="7"/>
  <c r="BF14" i="7"/>
  <c r="BE14" i="7"/>
  <c r="AP14" i="7"/>
  <c r="AR14" i="7"/>
  <c r="BJ14" i="7"/>
  <c r="AW26" i="7"/>
  <c r="AY26" i="7" s="1" a="1"/>
  <c r="AY26" i="7" s="1"/>
  <c r="M26" i="7" s="1"/>
  <c r="BF26" i="7"/>
  <c r="BE26" i="7"/>
  <c r="BJ26" i="7"/>
  <c r="AP26" i="7"/>
  <c r="AT26" i="7" s="1"/>
  <c r="AR26" i="7"/>
  <c r="BG25" i="7" l="1"/>
  <c r="BH25" i="7"/>
  <c r="AS25" i="7"/>
  <c r="AT25" i="7"/>
  <c r="BG20" i="7"/>
  <c r="BH20" i="7"/>
  <c r="AS20" i="7"/>
  <c r="AT20" i="7"/>
  <c r="BH14" i="7"/>
  <c r="BG14" i="7"/>
  <c r="AS14" i="7"/>
  <c r="AT14" i="7"/>
  <c r="BH26" i="7"/>
  <c r="BG26" i="7"/>
  <c r="AS26" i="7"/>
  <c r="BI14" i="7" l="1"/>
  <c r="BQ14" i="7" s="1"/>
  <c r="BI25" i="7"/>
  <c r="BI20" i="7"/>
  <c r="BQ20" i="7" s="1"/>
  <c r="BI26" i="7"/>
  <c r="BQ26" i="7" s="1"/>
  <c r="BK25" i="7" l="1"/>
  <c r="BQ25" i="7"/>
  <c r="B73" i="7" l="1"/>
  <c r="H73" i="7"/>
  <c r="Q73" i="7"/>
  <c r="T73" i="7"/>
  <c r="U73" i="7"/>
  <c r="CV73" i="7"/>
  <c r="E23" i="7"/>
  <c r="I23" i="7"/>
  <c r="L23" i="7"/>
  <c r="R23" i="7"/>
  <c r="S23" i="7" s="1"/>
  <c r="Z23" i="7"/>
  <c r="AA23" i="7"/>
  <c r="AD23" i="7"/>
  <c r="AO23" i="7" s="1"/>
  <c r="AE23" i="7"/>
  <c r="AK23" i="7" s="1"/>
  <c r="AF23" i="7"/>
  <c r="AG23" i="7"/>
  <c r="AH23" i="7"/>
  <c r="AI23" i="7"/>
  <c r="AJ23" i="7"/>
  <c r="AQ23" i="7"/>
  <c r="BS23" i="7"/>
  <c r="E10" i="7"/>
  <c r="I10" i="7"/>
  <c r="L10" i="7"/>
  <c r="R10" i="7"/>
  <c r="S10" i="7" s="1"/>
  <c r="Z10" i="7"/>
  <c r="AA10" i="7"/>
  <c r="AD10" i="7"/>
  <c r="AO10" i="7" s="1"/>
  <c r="AE10" i="7"/>
  <c r="AK10" i="7" s="1"/>
  <c r="AF10" i="7"/>
  <c r="AG10" i="7"/>
  <c r="AH10" i="7"/>
  <c r="AI10" i="7"/>
  <c r="AJ10" i="7"/>
  <c r="AQ10" i="7"/>
  <c r="BS10" i="7"/>
  <c r="E33" i="7"/>
  <c r="I33" i="7"/>
  <c r="L33" i="7"/>
  <c r="R33" i="7"/>
  <c r="S33" i="7" s="1"/>
  <c r="Z33" i="7"/>
  <c r="AA33" i="7"/>
  <c r="AD33" i="7"/>
  <c r="AO33" i="7" s="1"/>
  <c r="AE33" i="7"/>
  <c r="AK33" i="7" s="1"/>
  <c r="AF33" i="7"/>
  <c r="AG33" i="7"/>
  <c r="AH33" i="7"/>
  <c r="AI33" i="7"/>
  <c r="AJ33" i="7"/>
  <c r="AQ33" i="7"/>
  <c r="BS33" i="7"/>
  <c r="E24" i="7"/>
  <c r="I24" i="7"/>
  <c r="L24" i="7"/>
  <c r="R24" i="7"/>
  <c r="S24" i="7" s="1"/>
  <c r="Z24" i="7"/>
  <c r="AA24" i="7"/>
  <c r="AD24" i="7"/>
  <c r="AO24" i="7" s="1"/>
  <c r="AE24" i="7"/>
  <c r="AK24" i="7" s="1"/>
  <c r="AF24" i="7"/>
  <c r="AG24" i="7"/>
  <c r="AH24" i="7"/>
  <c r="AI24" i="7"/>
  <c r="AJ24" i="7"/>
  <c r="AQ24" i="7"/>
  <c r="BS24" i="7"/>
  <c r="BM10" i="7" l="1"/>
  <c r="BM23" i="7"/>
  <c r="BM24" i="7"/>
  <c r="BM33" i="7"/>
  <c r="AB33" i="7"/>
  <c r="AW33" i="7"/>
  <c r="BL24" i="7"/>
  <c r="AW24" i="7"/>
  <c r="AW23" i="7"/>
  <c r="BL10" i="7"/>
  <c r="BA23" i="7"/>
  <c r="AX23" i="7"/>
  <c r="AB23" i="7"/>
  <c r="AZ23" i="7"/>
  <c r="BD23" i="7"/>
  <c r="BC23" i="7"/>
  <c r="BB23" i="7"/>
  <c r="AV23" i="7"/>
  <c r="AL23" i="7"/>
  <c r="AU23" i="7"/>
  <c r="AM23" i="7"/>
  <c r="BK23" i="7" s="1"/>
  <c r="BA10" i="7"/>
  <c r="AU10" i="7"/>
  <c r="AV10" i="7"/>
  <c r="AZ10" i="7"/>
  <c r="AB10" i="7"/>
  <c r="AL10" i="7"/>
  <c r="AX10" i="7"/>
  <c r="BD10" i="7"/>
  <c r="BC10" i="7"/>
  <c r="BB10" i="7"/>
  <c r="AM10" i="7"/>
  <c r="BK10" i="7" s="1"/>
  <c r="BL33" i="7"/>
  <c r="AB24" i="7"/>
  <c r="AU33" i="7"/>
  <c r="AZ33" i="7"/>
  <c r="AZ24" i="7"/>
  <c r="AV33" i="7"/>
  <c r="BA33" i="7"/>
  <c r="AL33" i="7"/>
  <c r="BA24" i="7"/>
  <c r="AV24" i="7"/>
  <c r="BD33" i="7"/>
  <c r="AX33" i="7"/>
  <c r="AU24" i="7"/>
  <c r="BC33" i="7"/>
  <c r="BB33" i="7"/>
  <c r="AM33" i="7"/>
  <c r="BK33" i="7" s="1"/>
  <c r="AL24" i="7"/>
  <c r="AX24" i="7"/>
  <c r="BD24" i="7"/>
  <c r="BC24" i="7"/>
  <c r="BB24" i="7"/>
  <c r="AM24" i="7"/>
  <c r="BF24" i="7" s="1"/>
  <c r="AW10" i="7" l="1"/>
  <c r="AY10" i="7" s="1" a="1"/>
  <c r="AY10" i="7" s="1"/>
  <c r="M10" i="7" s="1"/>
  <c r="AY23" i="7" a="1"/>
  <c r="AY23" i="7" s="1"/>
  <c r="M23" i="7" s="1"/>
  <c r="BL23" i="7"/>
  <c r="AY24" i="7" a="1"/>
  <c r="AY24" i="7" s="1"/>
  <c r="M24" i="7" s="1"/>
  <c r="BF23" i="7"/>
  <c r="BE23" i="7"/>
  <c r="AP23" i="7"/>
  <c r="AR23" i="7"/>
  <c r="BJ23" i="7"/>
  <c r="AY33" i="7" a="1"/>
  <c r="AY33" i="7" s="1"/>
  <c r="M33" i="7" s="1"/>
  <c r="BF10" i="7"/>
  <c r="BE10" i="7"/>
  <c r="AP10" i="7"/>
  <c r="BJ10" i="7"/>
  <c r="AR10" i="7"/>
  <c r="BF33" i="7"/>
  <c r="BE33" i="7"/>
  <c r="BJ33" i="7"/>
  <c r="AP33" i="7"/>
  <c r="AR33" i="7"/>
  <c r="BE24" i="7"/>
  <c r="BJ24" i="7"/>
  <c r="AP24" i="7"/>
  <c r="AR24" i="7"/>
  <c r="BG23" i="7" l="1"/>
  <c r="BH23" i="7"/>
  <c r="AT23" i="7"/>
  <c r="AS23" i="7"/>
  <c r="AS10" i="7"/>
  <c r="AT10" i="7"/>
  <c r="BH10" i="7"/>
  <c r="BG10" i="7"/>
  <c r="BH33" i="7"/>
  <c r="BG33" i="7"/>
  <c r="AS33" i="7"/>
  <c r="AT33" i="7"/>
  <c r="BQ33" i="7"/>
  <c r="BH24" i="7"/>
  <c r="BG24" i="7"/>
  <c r="AS24" i="7"/>
  <c r="AT24" i="7"/>
  <c r="BI23" i="7" l="1"/>
  <c r="BQ23" i="7" s="1"/>
  <c r="BI24" i="7"/>
  <c r="BK24" i="7" s="1"/>
  <c r="BI10" i="7"/>
  <c r="BQ10" i="7" s="1"/>
  <c r="BI33" i="7"/>
  <c r="BQ24" i="7" l="1"/>
  <c r="E9" i="7"/>
  <c r="I9" i="7"/>
  <c r="L9" i="7"/>
  <c r="R9" i="7"/>
  <c r="S9" i="7" s="1"/>
  <c r="Z9" i="7"/>
  <c r="AA9" i="7"/>
  <c r="AD9" i="7"/>
  <c r="AO9" i="7" s="1"/>
  <c r="AE9" i="7"/>
  <c r="AK9" i="7" s="1"/>
  <c r="AF9" i="7"/>
  <c r="AG9" i="7"/>
  <c r="AH9" i="7"/>
  <c r="AI9" i="7"/>
  <c r="AJ9" i="7"/>
  <c r="BM9" i="7" s="1"/>
  <c r="AQ9" i="7"/>
  <c r="BS9" i="7"/>
  <c r="E61" i="7"/>
  <c r="I61" i="7"/>
  <c r="L61" i="7"/>
  <c r="R61" i="7"/>
  <c r="S61" i="7" s="1"/>
  <c r="Z61" i="7"/>
  <c r="AA61" i="7"/>
  <c r="AD61" i="7"/>
  <c r="AO61" i="7" s="1"/>
  <c r="AE61" i="7"/>
  <c r="AK61" i="7" s="1"/>
  <c r="AF61" i="7"/>
  <c r="AG61" i="7"/>
  <c r="AH61" i="7"/>
  <c r="AI61" i="7"/>
  <c r="AJ61" i="7"/>
  <c r="AQ61" i="7"/>
  <c r="BS61" i="7"/>
  <c r="E32" i="7"/>
  <c r="I32" i="7"/>
  <c r="L32" i="7"/>
  <c r="R32" i="7"/>
  <c r="S32" i="7" s="1"/>
  <c r="Z32" i="7"/>
  <c r="AA32" i="7"/>
  <c r="AD32" i="7"/>
  <c r="AO32" i="7" s="1"/>
  <c r="AE32" i="7"/>
  <c r="AK32" i="7" s="1"/>
  <c r="AF32" i="7"/>
  <c r="AG32" i="7"/>
  <c r="AH32" i="7"/>
  <c r="AI32" i="7"/>
  <c r="AJ32" i="7"/>
  <c r="AQ32" i="7"/>
  <c r="BS32" i="7"/>
  <c r="E21" i="7"/>
  <c r="I21" i="7"/>
  <c r="L21" i="7"/>
  <c r="R21" i="7"/>
  <c r="S21" i="7" s="1"/>
  <c r="Z21" i="7"/>
  <c r="AA21" i="7"/>
  <c r="AD21" i="7"/>
  <c r="AE21" i="7"/>
  <c r="AK21" i="7" s="1"/>
  <c r="AF21" i="7"/>
  <c r="AG21" i="7"/>
  <c r="AH21" i="7"/>
  <c r="AI21" i="7"/>
  <c r="AJ21" i="7"/>
  <c r="AQ21" i="7"/>
  <c r="BS21" i="7"/>
  <c r="E41" i="7"/>
  <c r="I41" i="7"/>
  <c r="L41" i="7"/>
  <c r="R41" i="7"/>
  <c r="S41" i="7" s="1"/>
  <c r="Z41" i="7"/>
  <c r="AA41" i="7"/>
  <c r="AD41" i="7"/>
  <c r="AO41" i="7" s="1"/>
  <c r="AE41" i="7"/>
  <c r="AK41" i="7" s="1"/>
  <c r="AF41" i="7"/>
  <c r="AG41" i="7"/>
  <c r="AH41" i="7"/>
  <c r="AI41" i="7"/>
  <c r="AJ41" i="7"/>
  <c r="AQ41" i="7"/>
  <c r="BS41" i="7"/>
  <c r="E17" i="7"/>
  <c r="I17" i="7"/>
  <c r="L17" i="7"/>
  <c r="R17" i="7"/>
  <c r="S17" i="7" s="1"/>
  <c r="Z17" i="7"/>
  <c r="AB17" i="7" s="1"/>
  <c r="AA17" i="7"/>
  <c r="AD17" i="7"/>
  <c r="AO17" i="7" s="1"/>
  <c r="AE17" i="7"/>
  <c r="AK17" i="7" s="1"/>
  <c r="AF17" i="7"/>
  <c r="AG17" i="7"/>
  <c r="AH17" i="7"/>
  <c r="AI17" i="7"/>
  <c r="AJ17" i="7"/>
  <c r="AQ17" i="7"/>
  <c r="BS17" i="7"/>
  <c r="E19" i="7"/>
  <c r="I19" i="7"/>
  <c r="L19" i="7"/>
  <c r="R19" i="7"/>
  <c r="S19" i="7" s="1"/>
  <c r="Z19" i="7"/>
  <c r="AA19" i="7"/>
  <c r="AD19" i="7"/>
  <c r="AO19" i="7" s="1"/>
  <c r="AE19" i="7"/>
  <c r="AK19" i="7" s="1"/>
  <c r="AF19" i="7"/>
  <c r="AG19" i="7"/>
  <c r="AH19" i="7"/>
  <c r="AI19" i="7"/>
  <c r="AJ19" i="7"/>
  <c r="AQ19" i="7"/>
  <c r="BS19" i="7"/>
  <c r="E15" i="7"/>
  <c r="I15" i="7"/>
  <c r="L15" i="7"/>
  <c r="R15" i="7"/>
  <c r="S15" i="7" s="1"/>
  <c r="Z15" i="7"/>
  <c r="AA15" i="7"/>
  <c r="AD15" i="7"/>
  <c r="AO15" i="7" s="1"/>
  <c r="AE15" i="7"/>
  <c r="AK15" i="7" s="1"/>
  <c r="AF15" i="7"/>
  <c r="AG15" i="7"/>
  <c r="AH15" i="7"/>
  <c r="AI15" i="7"/>
  <c r="AJ15" i="7"/>
  <c r="AQ15" i="7"/>
  <c r="BS15" i="7"/>
  <c r="E13" i="7"/>
  <c r="I13" i="7"/>
  <c r="L13" i="7"/>
  <c r="R13" i="7"/>
  <c r="S13" i="7" s="1"/>
  <c r="Z13" i="7"/>
  <c r="AA13" i="7"/>
  <c r="AD13" i="7"/>
  <c r="AE13" i="7"/>
  <c r="AK13" i="7" s="1"/>
  <c r="AF13" i="7"/>
  <c r="AG13" i="7"/>
  <c r="AH13" i="7"/>
  <c r="AI13" i="7"/>
  <c r="AJ13" i="7"/>
  <c r="AQ13" i="7"/>
  <c r="BS13" i="7"/>
  <c r="E69" i="7"/>
  <c r="I69" i="7"/>
  <c r="L69" i="7"/>
  <c r="R69" i="7"/>
  <c r="S69" i="7" s="1"/>
  <c r="Z69" i="7"/>
  <c r="AA69" i="7"/>
  <c r="AD69" i="7"/>
  <c r="AO69" i="7" s="1"/>
  <c r="AE69" i="7"/>
  <c r="AK69" i="7" s="1"/>
  <c r="AF69" i="7"/>
  <c r="AG69" i="7"/>
  <c r="AH69" i="7"/>
  <c r="AI69" i="7"/>
  <c r="AJ69" i="7"/>
  <c r="AQ69" i="7"/>
  <c r="BS69" i="7"/>
  <c r="AO13" i="7" l="1"/>
  <c r="AO21" i="7"/>
  <c r="BM69" i="7"/>
  <c r="BM15" i="7"/>
  <c r="BM61" i="7"/>
  <c r="BM32" i="7"/>
  <c r="BM17" i="7"/>
  <c r="BM19" i="7"/>
  <c r="BM21" i="7"/>
  <c r="BM41" i="7"/>
  <c r="BM13" i="7"/>
  <c r="AW19" i="7"/>
  <c r="BL21" i="7"/>
  <c r="AW21" i="7"/>
  <c r="AV9" i="7"/>
  <c r="AW9" i="7"/>
  <c r="BL32" i="7"/>
  <c r="AW32" i="7"/>
  <c r="AV61" i="7"/>
  <c r="AV69" i="7"/>
  <c r="BL13" i="7"/>
  <c r="AW13" i="7"/>
  <c r="AW15" i="7"/>
  <c r="BL17" i="7"/>
  <c r="AW17" i="7"/>
  <c r="AV41" i="7"/>
  <c r="AW41" i="7"/>
  <c r="AU9" i="7"/>
  <c r="BL9" i="7"/>
  <c r="AB9" i="7"/>
  <c r="BA9" i="7"/>
  <c r="AZ9" i="7"/>
  <c r="AW61" i="7"/>
  <c r="BC9" i="7"/>
  <c r="AX9" i="7"/>
  <c r="AL9" i="7"/>
  <c r="BD9" i="7"/>
  <c r="BB9" i="7"/>
  <c r="AM9" i="7"/>
  <c r="BK9" i="7" s="1"/>
  <c r="AB61" i="7"/>
  <c r="AZ61" i="7"/>
  <c r="BA61" i="7"/>
  <c r="AU61" i="7"/>
  <c r="AL61" i="7"/>
  <c r="AX61" i="7"/>
  <c r="BD61" i="7"/>
  <c r="BC61" i="7"/>
  <c r="BB61" i="7"/>
  <c r="AM61" i="7"/>
  <c r="AV32" i="7"/>
  <c r="AU32" i="7"/>
  <c r="M32" i="7" s="1"/>
  <c r="AZ32" i="7"/>
  <c r="BA32" i="7"/>
  <c r="AB32" i="7"/>
  <c r="AL32" i="7"/>
  <c r="AX32" i="7"/>
  <c r="BD32" i="7"/>
  <c r="BC32" i="7"/>
  <c r="AM21" i="7"/>
  <c r="BK21" i="7" s="1"/>
  <c r="BB32" i="7"/>
  <c r="AM32" i="7"/>
  <c r="BK32" i="7" s="1"/>
  <c r="BA21" i="7"/>
  <c r="AU21" i="7"/>
  <c r="M21" i="7" s="1"/>
  <c r="AZ21" i="7"/>
  <c r="AB21" i="7"/>
  <c r="BC21" i="7"/>
  <c r="BD21" i="7"/>
  <c r="BB21" i="7"/>
  <c r="AL21" i="7"/>
  <c r="AX21" i="7"/>
  <c r="AV21" i="7"/>
  <c r="AU41" i="7"/>
  <c r="BA41" i="7"/>
  <c r="BL41" i="7"/>
  <c r="AZ41" i="7"/>
  <c r="AB41" i="7"/>
  <c r="BC41" i="7"/>
  <c r="AL41" i="7"/>
  <c r="AX41" i="7"/>
  <c r="BD41" i="7"/>
  <c r="BB41" i="7"/>
  <c r="AM41" i="7"/>
  <c r="BK41" i="7" s="1"/>
  <c r="AU13" i="7"/>
  <c r="M13" i="7" s="1"/>
  <c r="AU15" i="7"/>
  <c r="AB15" i="7"/>
  <c r="AZ19" i="7"/>
  <c r="AZ17" i="7"/>
  <c r="AX17" i="7"/>
  <c r="AU17" i="7"/>
  <c r="BA17" i="7"/>
  <c r="AL17" i="7"/>
  <c r="AV17" i="7"/>
  <c r="BD17" i="7"/>
  <c r="BC17" i="7"/>
  <c r="BB17" i="7"/>
  <c r="AM17" i="7"/>
  <c r="BK17" i="7" s="1"/>
  <c r="AV19" i="7"/>
  <c r="BA19" i="7"/>
  <c r="AB19" i="7"/>
  <c r="BL19" i="7"/>
  <c r="AU19" i="7"/>
  <c r="M19" i="7" s="1"/>
  <c r="AL19" i="7"/>
  <c r="AX19" i="7"/>
  <c r="BD19" i="7"/>
  <c r="BC19" i="7"/>
  <c r="BB19" i="7"/>
  <c r="AM19" i="7"/>
  <c r="BK19" i="7" s="1"/>
  <c r="BA15" i="7"/>
  <c r="AZ15" i="7"/>
  <c r="AV15" i="7"/>
  <c r="AL15" i="7"/>
  <c r="AX15" i="7"/>
  <c r="BD15" i="7"/>
  <c r="BC15" i="7"/>
  <c r="BB15" i="7"/>
  <c r="AM15" i="7"/>
  <c r="AB13" i="7"/>
  <c r="BA13" i="7"/>
  <c r="AV13" i="7"/>
  <c r="AZ13" i="7"/>
  <c r="AL13" i="7"/>
  <c r="AX13" i="7"/>
  <c r="BD13" i="7"/>
  <c r="BC13" i="7"/>
  <c r="BB13" i="7"/>
  <c r="AM13" i="7"/>
  <c r="BK13" i="7" s="1"/>
  <c r="AB69" i="7"/>
  <c r="AW69" i="7"/>
  <c r="BA69" i="7"/>
  <c r="AZ69" i="7"/>
  <c r="AU69" i="7"/>
  <c r="AL69" i="7"/>
  <c r="AX69" i="7"/>
  <c r="BD69" i="7"/>
  <c r="BC69" i="7"/>
  <c r="BB69" i="7"/>
  <c r="AM69" i="7"/>
  <c r="BE69" i="7" s="1"/>
  <c r="BL15" i="7" l="1"/>
  <c r="BL61" i="7"/>
  <c r="AY61" i="7" a="1"/>
  <c r="AY61" i="7" s="1"/>
  <c r="M61" i="7" s="1"/>
  <c r="AY9" i="7" a="1"/>
  <c r="AY9" i="7" s="1"/>
  <c r="M9" i="7" s="1"/>
  <c r="BF9" i="7"/>
  <c r="BE9" i="7"/>
  <c r="AP9" i="7"/>
  <c r="AR9" i="7"/>
  <c r="BJ9" i="7"/>
  <c r="BF61" i="7"/>
  <c r="BE61" i="7"/>
  <c r="AP61" i="7"/>
  <c r="AR61" i="7"/>
  <c r="BJ61" i="7"/>
  <c r="BE21" i="7"/>
  <c r="AY32" i="7" a="1"/>
  <c r="AY32" i="7" s="1"/>
  <c r="BF21" i="7"/>
  <c r="BF32" i="7"/>
  <c r="BE32" i="7"/>
  <c r="AP32" i="7"/>
  <c r="AR32" i="7"/>
  <c r="BJ32" i="7"/>
  <c r="AY21" i="7" a="1"/>
  <c r="AY21" i="7" s="1"/>
  <c r="AP21" i="7"/>
  <c r="AR21" i="7"/>
  <c r="BJ21" i="7"/>
  <c r="AY41" i="7" a="1"/>
  <c r="AY41" i="7" s="1"/>
  <c r="M41" i="7" s="1"/>
  <c r="BF41" i="7"/>
  <c r="BE41" i="7"/>
  <c r="AP41" i="7"/>
  <c r="AR41" i="7"/>
  <c r="BJ41" i="7"/>
  <c r="AY17" i="7" a="1"/>
  <c r="AY17" i="7" s="1"/>
  <c r="M17" i="7" s="1"/>
  <c r="BF17" i="7"/>
  <c r="BE17" i="7"/>
  <c r="AP17" i="7"/>
  <c r="AR17" i="7"/>
  <c r="BJ17" i="7"/>
  <c r="AY15" i="7" a="1"/>
  <c r="AY15" i="7" s="1"/>
  <c r="M15" i="7" s="1"/>
  <c r="AY19" i="7" a="1"/>
  <c r="AY19" i="7" s="1"/>
  <c r="BF19" i="7"/>
  <c r="BE19" i="7"/>
  <c r="AP19" i="7"/>
  <c r="AR19" i="7"/>
  <c r="BJ19" i="7"/>
  <c r="AY13" i="7" a="1"/>
  <c r="AY13" i="7" s="1"/>
  <c r="BF15" i="7"/>
  <c r="BE15" i="7"/>
  <c r="AP15" i="7"/>
  <c r="AR15" i="7"/>
  <c r="BJ15" i="7"/>
  <c r="BL69" i="7"/>
  <c r="BF13" i="7"/>
  <c r="BE13" i="7"/>
  <c r="AP13" i="7"/>
  <c r="BJ13" i="7"/>
  <c r="AR13" i="7"/>
  <c r="AY69" i="7" a="1"/>
  <c r="AY69" i="7" s="1"/>
  <c r="M69" i="7" s="1"/>
  <c r="BF69" i="7"/>
  <c r="BJ69" i="7"/>
  <c r="AP69" i="7"/>
  <c r="AR69" i="7"/>
  <c r="BG9" i="7" l="1"/>
  <c r="BH9" i="7"/>
  <c r="AS9" i="7"/>
  <c r="AT9" i="7"/>
  <c r="BG61" i="7"/>
  <c r="BH61" i="7"/>
  <c r="AS61" i="7"/>
  <c r="AT61" i="7"/>
  <c r="BG32" i="7"/>
  <c r="BH32" i="7"/>
  <c r="AS32" i="7"/>
  <c r="AT32" i="7"/>
  <c r="BG21" i="7"/>
  <c r="BH21" i="7"/>
  <c r="AS21" i="7"/>
  <c r="AT21" i="7"/>
  <c r="BG41" i="7"/>
  <c r="BH41" i="7"/>
  <c r="AS41" i="7"/>
  <c r="AT41" i="7"/>
  <c r="BG17" i="7"/>
  <c r="BH17" i="7"/>
  <c r="AT17" i="7"/>
  <c r="AS17" i="7"/>
  <c r="BH19" i="7"/>
  <c r="BG19" i="7"/>
  <c r="AS19" i="7"/>
  <c r="AT19" i="7"/>
  <c r="BH15" i="7"/>
  <c r="BG15" i="7"/>
  <c r="AS15" i="7"/>
  <c r="AT15" i="7"/>
  <c r="BG13" i="7"/>
  <c r="BH13" i="7"/>
  <c r="AS13" i="7"/>
  <c r="AT13" i="7"/>
  <c r="AS69" i="7"/>
  <c r="AT69" i="7"/>
  <c r="BH69" i="7"/>
  <c r="BG69" i="7"/>
  <c r="BI9" i="7" l="1"/>
  <c r="BQ9" i="7" s="1"/>
  <c r="BI61" i="7"/>
  <c r="BI32" i="7"/>
  <c r="BQ32" i="7" s="1"/>
  <c r="BI21" i="7"/>
  <c r="BQ21" i="7" s="1"/>
  <c r="BI41" i="7"/>
  <c r="BQ41" i="7" s="1"/>
  <c r="BI19" i="7"/>
  <c r="BQ19" i="7" s="1"/>
  <c r="BI17" i="7"/>
  <c r="BQ17" i="7" s="1"/>
  <c r="BI15" i="7"/>
  <c r="BI13" i="7"/>
  <c r="BQ13" i="7" s="1"/>
  <c r="BI69" i="7"/>
  <c r="BK69" i="7" s="1"/>
  <c r="BQ69" i="7" s="1"/>
  <c r="BK61" i="7" l="1"/>
  <c r="BQ61" i="7"/>
  <c r="BK15" i="7"/>
  <c r="BQ15" i="7"/>
  <c r="B11" i="9" l="1"/>
  <c r="J2" i="9"/>
  <c r="J1" i="9"/>
  <c r="C10" i="8"/>
  <c r="D8" i="8"/>
  <c r="C8" i="8"/>
  <c r="C5" i="8"/>
  <c r="BS66" i="7"/>
  <c r="AQ66" i="7"/>
  <c r="AJ66" i="7"/>
  <c r="AI66" i="7"/>
  <c r="AH66" i="7"/>
  <c r="AG66" i="7"/>
  <c r="AF66" i="7"/>
  <c r="AE66" i="7"/>
  <c r="AD66" i="7"/>
  <c r="BC66" i="7"/>
  <c r="AA66" i="7"/>
  <c r="Z66" i="7"/>
  <c r="R66" i="7"/>
  <c r="S66" i="7" s="1"/>
  <c r="L66" i="7"/>
  <c r="I66" i="7"/>
  <c r="E66" i="7"/>
  <c r="BS67" i="7"/>
  <c r="AQ67" i="7"/>
  <c r="AJ67" i="7"/>
  <c r="AI67" i="7"/>
  <c r="AH67" i="7"/>
  <c r="AG67" i="7"/>
  <c r="AF67" i="7"/>
  <c r="AE67" i="7"/>
  <c r="AD67" i="7"/>
  <c r="AA67" i="7"/>
  <c r="Z67" i="7"/>
  <c r="AB67" i="7" s="1"/>
  <c r="R67" i="7"/>
  <c r="S67" i="7" s="1"/>
  <c r="L67" i="7"/>
  <c r="I67" i="7"/>
  <c r="E67" i="7"/>
  <c r="BS68" i="7"/>
  <c r="AQ68" i="7"/>
  <c r="AJ68" i="7"/>
  <c r="AI68" i="7"/>
  <c r="AH68" i="7"/>
  <c r="AG68" i="7"/>
  <c r="BD68" i="7" s="1"/>
  <c r="AF68" i="7"/>
  <c r="AE68" i="7"/>
  <c r="AM68" i="7" s="1"/>
  <c r="AD68" i="7"/>
  <c r="AO68" i="7" s="1"/>
  <c r="BC68" i="7"/>
  <c r="AA68" i="7"/>
  <c r="Z68" i="7"/>
  <c r="R68" i="7"/>
  <c r="S68" i="7" s="1"/>
  <c r="L68" i="7"/>
  <c r="I68" i="7"/>
  <c r="E68" i="7"/>
  <c r="BS65" i="7"/>
  <c r="AQ65" i="7"/>
  <c r="AJ65" i="7"/>
  <c r="AI65" i="7"/>
  <c r="AH65" i="7"/>
  <c r="AG65" i="7"/>
  <c r="AF65" i="7"/>
  <c r="AE65" i="7"/>
  <c r="AK65" i="7" s="1"/>
  <c r="AD65" i="7"/>
  <c r="AO65" i="7" s="1"/>
  <c r="AA65" i="7"/>
  <c r="Z65" i="7"/>
  <c r="R65" i="7"/>
  <c r="S65" i="7" s="1"/>
  <c r="L65" i="7"/>
  <c r="I65" i="7"/>
  <c r="E65" i="7"/>
  <c r="BS62" i="7"/>
  <c r="AQ62" i="7"/>
  <c r="AJ62" i="7"/>
  <c r="AI62" i="7"/>
  <c r="AH62" i="7"/>
  <c r="AG62" i="7"/>
  <c r="BD62" i="7" s="1"/>
  <c r="AF62" i="7"/>
  <c r="AE62" i="7"/>
  <c r="AM62" i="7" s="1"/>
  <c r="AD62" i="7"/>
  <c r="AA62" i="7"/>
  <c r="Z62" i="7"/>
  <c r="R62" i="7"/>
  <c r="S62" i="7" s="1"/>
  <c r="L62" i="7"/>
  <c r="I62" i="7"/>
  <c r="E62" i="7"/>
  <c r="BS64" i="7"/>
  <c r="AQ64" i="7"/>
  <c r="AJ64" i="7"/>
  <c r="AI64" i="7"/>
  <c r="AH64" i="7"/>
  <c r="AG64" i="7"/>
  <c r="BD64" i="7" s="1"/>
  <c r="AF64" i="7"/>
  <c r="AE64" i="7"/>
  <c r="AK64" i="7" s="1"/>
  <c r="AD64" i="7"/>
  <c r="AO64" i="7" s="1"/>
  <c r="BC64" i="7"/>
  <c r="AA64" i="7"/>
  <c r="Z64" i="7"/>
  <c r="R64" i="7"/>
  <c r="S64" i="7" s="1"/>
  <c r="L64" i="7"/>
  <c r="I64" i="7"/>
  <c r="E64" i="7"/>
  <c r="AQ63" i="7"/>
  <c r="AJ63" i="7"/>
  <c r="AI63" i="7"/>
  <c r="AH63" i="7"/>
  <c r="AG63" i="7"/>
  <c r="AF63" i="7"/>
  <c r="AE63" i="7"/>
  <c r="AK63" i="7" s="1"/>
  <c r="AL63" i="7" s="1"/>
  <c r="BJ63" i="7" s="1"/>
  <c r="AD63" i="7"/>
  <c r="AO63" i="7" s="1"/>
  <c r="AA63" i="7"/>
  <c r="Z63" i="7"/>
  <c r="R63" i="7"/>
  <c r="S63" i="7" s="1"/>
  <c r="L63" i="7"/>
  <c r="I63" i="7"/>
  <c r="E63" i="7"/>
  <c r="BS59" i="7"/>
  <c r="AQ59" i="7"/>
  <c r="AJ59" i="7"/>
  <c r="AI59" i="7"/>
  <c r="AT59" i="7" s="1"/>
  <c r="AH59" i="7"/>
  <c r="AG59" i="7"/>
  <c r="BD59" i="7" s="1"/>
  <c r="AF59" i="7"/>
  <c r="AE59" i="7"/>
  <c r="AM59" i="7" s="1"/>
  <c r="AD59" i="7"/>
  <c r="AO59" i="7" s="1"/>
  <c r="AA59" i="7"/>
  <c r="Z59" i="7"/>
  <c r="AB59" i="7" s="1"/>
  <c r="R59" i="7"/>
  <c r="S59" i="7" s="1"/>
  <c r="L59" i="7"/>
  <c r="I59" i="7"/>
  <c r="E59" i="7"/>
  <c r="BS60" i="7"/>
  <c r="AQ60" i="7"/>
  <c r="AJ60" i="7"/>
  <c r="AI60" i="7"/>
  <c r="AH60" i="7"/>
  <c r="AG60" i="7"/>
  <c r="BD60" i="7" s="1"/>
  <c r="AF60" i="7"/>
  <c r="AE60" i="7"/>
  <c r="AM60" i="7" s="1"/>
  <c r="AD60" i="7"/>
  <c r="AO60" i="7" s="1"/>
  <c r="AA60" i="7"/>
  <c r="Z60" i="7"/>
  <c r="R60" i="7"/>
  <c r="S60" i="7" s="1"/>
  <c r="L60" i="7"/>
  <c r="I60" i="7"/>
  <c r="E60" i="7"/>
  <c r="BS58" i="7"/>
  <c r="AQ58" i="7"/>
  <c r="AJ58" i="7"/>
  <c r="AI58" i="7"/>
  <c r="AT58" i="7" s="1"/>
  <c r="AH58" i="7"/>
  <c r="AG58" i="7"/>
  <c r="BD58" i="7" s="1"/>
  <c r="AF58" i="7"/>
  <c r="AE58" i="7"/>
  <c r="AK58" i="7" s="1"/>
  <c r="AD58" i="7"/>
  <c r="AO58" i="7" s="1"/>
  <c r="AA58" i="7"/>
  <c r="Z58" i="7"/>
  <c r="AB58" i="7" s="1"/>
  <c r="R58" i="7"/>
  <c r="S58" i="7" s="1"/>
  <c r="L58" i="7"/>
  <c r="I58" i="7"/>
  <c r="E58" i="7"/>
  <c r="BS57" i="7"/>
  <c r="AQ57" i="7"/>
  <c r="AJ57" i="7"/>
  <c r="AI57" i="7"/>
  <c r="AH57" i="7"/>
  <c r="AG57" i="7"/>
  <c r="BD57" i="7" s="1"/>
  <c r="AF57" i="7"/>
  <c r="AE57" i="7"/>
  <c r="AD57" i="7"/>
  <c r="AO57" i="7" s="1"/>
  <c r="AA57" i="7"/>
  <c r="Z57" i="7"/>
  <c r="AB57" i="7" s="1"/>
  <c r="R57" i="7"/>
  <c r="S57" i="7" s="1"/>
  <c r="L57" i="7"/>
  <c r="I57" i="7"/>
  <c r="E57" i="7"/>
  <c r="BS56" i="7"/>
  <c r="AQ56" i="7"/>
  <c r="AJ56" i="7"/>
  <c r="AI56" i="7"/>
  <c r="AT56" i="7" s="1"/>
  <c r="AH56" i="7"/>
  <c r="AG56" i="7"/>
  <c r="BD56" i="7" s="1"/>
  <c r="AF56" i="7"/>
  <c r="AE56" i="7"/>
  <c r="AM56" i="7" s="1"/>
  <c r="BK56" i="7" s="1"/>
  <c r="AD56" i="7"/>
  <c r="AO56" i="7" s="1"/>
  <c r="BC56" i="7"/>
  <c r="AA56" i="7"/>
  <c r="Z56" i="7"/>
  <c r="AB56" i="7" s="1"/>
  <c r="R56" i="7"/>
  <c r="S56" i="7" s="1"/>
  <c r="L56" i="7"/>
  <c r="I56" i="7"/>
  <c r="E56" i="7"/>
  <c r="BS55" i="7"/>
  <c r="AQ55" i="7"/>
  <c r="AJ55" i="7"/>
  <c r="AI55" i="7"/>
  <c r="AT55" i="7" s="1"/>
  <c r="AH55" i="7"/>
  <c r="AG55" i="7"/>
  <c r="BD55" i="7" s="1"/>
  <c r="AF55" i="7"/>
  <c r="AE55" i="7"/>
  <c r="AM55" i="7" s="1"/>
  <c r="BK55" i="7" s="1"/>
  <c r="AD55" i="7"/>
  <c r="AO55" i="7" s="1"/>
  <c r="BC55" i="7"/>
  <c r="AA55" i="7"/>
  <c r="Z55" i="7"/>
  <c r="AB55" i="7" s="1"/>
  <c r="R55" i="7"/>
  <c r="S55" i="7" s="1"/>
  <c r="L55" i="7"/>
  <c r="I55" i="7"/>
  <c r="E55" i="7"/>
  <c r="BS54" i="7"/>
  <c r="AQ54" i="7"/>
  <c r="AJ54" i="7"/>
  <c r="AI54" i="7"/>
  <c r="AH54" i="7"/>
  <c r="AG54" i="7"/>
  <c r="BD54" i="7" s="1"/>
  <c r="AF54" i="7"/>
  <c r="AE54" i="7"/>
  <c r="AK54" i="7" s="1"/>
  <c r="AD54" i="7"/>
  <c r="AO54" i="7" s="1"/>
  <c r="BC54" i="7"/>
  <c r="AA54" i="7"/>
  <c r="Z54" i="7"/>
  <c r="R54" i="7"/>
  <c r="S54" i="7" s="1"/>
  <c r="L54" i="7"/>
  <c r="I54" i="7"/>
  <c r="E54" i="7"/>
  <c r="BS53" i="7"/>
  <c r="AQ53" i="7"/>
  <c r="AJ53" i="7"/>
  <c r="AI53" i="7"/>
  <c r="AT53" i="7" s="1"/>
  <c r="AH53" i="7"/>
  <c r="AG53" i="7"/>
  <c r="BD53" i="7" s="1"/>
  <c r="AF53" i="7"/>
  <c r="AE53" i="7"/>
  <c r="AM53" i="7" s="1"/>
  <c r="BK53" i="7" s="1"/>
  <c r="AD53" i="7"/>
  <c r="AO53" i="7" s="1"/>
  <c r="AA53" i="7"/>
  <c r="Z53" i="7"/>
  <c r="AB53" i="7" s="1"/>
  <c r="R53" i="7"/>
  <c r="S53" i="7" s="1"/>
  <c r="L53" i="7"/>
  <c r="I53" i="7"/>
  <c r="E53" i="7"/>
  <c r="BS52" i="7"/>
  <c r="AQ52" i="7"/>
  <c r="AJ52" i="7"/>
  <c r="AI52" i="7"/>
  <c r="AT52" i="7" s="1"/>
  <c r="AH52" i="7"/>
  <c r="AG52" i="7"/>
  <c r="BD52" i="7" s="1"/>
  <c r="AF52" i="7"/>
  <c r="AE52" i="7"/>
  <c r="AK52" i="7" s="1"/>
  <c r="AD52" i="7"/>
  <c r="AO52" i="7" s="1"/>
  <c r="BC52" i="7"/>
  <c r="AA52" i="7"/>
  <c r="Z52" i="7"/>
  <c r="AB52" i="7" s="1"/>
  <c r="R52" i="7"/>
  <c r="S52" i="7" s="1"/>
  <c r="L52" i="7"/>
  <c r="I52" i="7"/>
  <c r="E52" i="7"/>
  <c r="BS51" i="7"/>
  <c r="AQ51" i="7"/>
  <c r="AJ51" i="7"/>
  <c r="AI51" i="7"/>
  <c r="AT51" i="7" s="1"/>
  <c r="AH51" i="7"/>
  <c r="AG51" i="7"/>
  <c r="AF51" i="7"/>
  <c r="AE51" i="7"/>
  <c r="AD51" i="7"/>
  <c r="AO51" i="7" s="1"/>
  <c r="BC51" i="7"/>
  <c r="AA51" i="7"/>
  <c r="Z51" i="7"/>
  <c r="AB51" i="7" s="1"/>
  <c r="R51" i="7"/>
  <c r="S51" i="7" s="1"/>
  <c r="L51" i="7"/>
  <c r="I51" i="7"/>
  <c r="E51" i="7"/>
  <c r="BS50" i="7"/>
  <c r="AQ50" i="7"/>
  <c r="AJ50" i="7"/>
  <c r="AI50" i="7"/>
  <c r="AH50" i="7"/>
  <c r="AG50" i="7"/>
  <c r="AF50" i="7"/>
  <c r="AE50" i="7"/>
  <c r="AD50" i="7"/>
  <c r="BC50" i="7"/>
  <c r="AA50" i="7"/>
  <c r="Z50" i="7"/>
  <c r="R50" i="7"/>
  <c r="S50" i="7" s="1"/>
  <c r="L50" i="7"/>
  <c r="I50" i="7"/>
  <c r="E50" i="7"/>
  <c r="BS49" i="7"/>
  <c r="AQ49" i="7"/>
  <c r="AJ49" i="7"/>
  <c r="AI49" i="7"/>
  <c r="AH49" i="7"/>
  <c r="AG49" i="7"/>
  <c r="AF49" i="7"/>
  <c r="AE49" i="7"/>
  <c r="AM49" i="7" s="1"/>
  <c r="BK49" i="7" s="1"/>
  <c r="AD49" i="7"/>
  <c r="AO49" i="7" s="1"/>
  <c r="BC49" i="7"/>
  <c r="AA49" i="7"/>
  <c r="Z49" i="7"/>
  <c r="AB49" i="7" s="1"/>
  <c r="R49" i="7"/>
  <c r="S49" i="7" s="1"/>
  <c r="L49" i="7"/>
  <c r="I49" i="7"/>
  <c r="E49" i="7"/>
  <c r="BS48" i="7"/>
  <c r="AQ48" i="7"/>
  <c r="AJ48" i="7"/>
  <c r="AI48" i="7"/>
  <c r="AH48" i="7"/>
  <c r="AG48" i="7"/>
  <c r="AF48" i="7"/>
  <c r="AE48" i="7"/>
  <c r="AM48" i="7" s="1"/>
  <c r="BK48" i="7" s="1"/>
  <c r="AD48" i="7"/>
  <c r="BC48" i="7"/>
  <c r="AA48" i="7"/>
  <c r="Z48" i="7"/>
  <c r="AB48" i="7" s="1"/>
  <c r="R48" i="7"/>
  <c r="S48" i="7" s="1"/>
  <c r="L48" i="7"/>
  <c r="I48" i="7"/>
  <c r="E48" i="7"/>
  <c r="BS45" i="7"/>
  <c r="AQ45" i="7"/>
  <c r="AJ45" i="7"/>
  <c r="AI45" i="7"/>
  <c r="AH45" i="7"/>
  <c r="AG45" i="7"/>
  <c r="BD45" i="7" s="1"/>
  <c r="AF45" i="7"/>
  <c r="AE45" i="7"/>
  <c r="AD45" i="7"/>
  <c r="AO45" i="7" s="1"/>
  <c r="AA45" i="7"/>
  <c r="Z45" i="7"/>
  <c r="R45" i="7"/>
  <c r="S45" i="7" s="1"/>
  <c r="L45" i="7"/>
  <c r="I45" i="7"/>
  <c r="E45" i="7"/>
  <c r="BS46" i="7"/>
  <c r="AQ46" i="7"/>
  <c r="AJ46" i="7"/>
  <c r="AI46" i="7"/>
  <c r="AH46" i="7"/>
  <c r="AG46" i="7"/>
  <c r="BQ46" i="7" s="1"/>
  <c r="AF46" i="7"/>
  <c r="AE46" i="7"/>
  <c r="AK46" i="7" s="1"/>
  <c r="AD46" i="7"/>
  <c r="AO46" i="7" s="1"/>
  <c r="BC46" i="7"/>
  <c r="AA46" i="7"/>
  <c r="Z46" i="7"/>
  <c r="R46" i="7"/>
  <c r="S46" i="7" s="1"/>
  <c r="L46" i="7"/>
  <c r="I46" i="7"/>
  <c r="E46" i="7"/>
  <c r="BS40" i="7"/>
  <c r="AQ40" i="7"/>
  <c r="AJ40" i="7"/>
  <c r="AI40" i="7"/>
  <c r="AH40" i="7"/>
  <c r="AG40" i="7"/>
  <c r="BD40" i="7" s="1"/>
  <c r="AF40" i="7"/>
  <c r="AE40" i="7"/>
  <c r="AK40" i="7" s="1"/>
  <c r="AD40" i="7"/>
  <c r="AO40" i="7" s="1"/>
  <c r="AA40" i="7"/>
  <c r="Z40" i="7"/>
  <c r="AB40" i="7" s="1"/>
  <c r="R40" i="7"/>
  <c r="S40" i="7" s="1"/>
  <c r="L40" i="7"/>
  <c r="I40" i="7"/>
  <c r="E40" i="7"/>
  <c r="BS39" i="7"/>
  <c r="AQ39" i="7"/>
  <c r="AJ39" i="7"/>
  <c r="AI39" i="7"/>
  <c r="AT39" i="7" s="1"/>
  <c r="AH39" i="7"/>
  <c r="AG39" i="7"/>
  <c r="BD39" i="7" s="1"/>
  <c r="AF39" i="7"/>
  <c r="AE39" i="7"/>
  <c r="AM39" i="7" s="1"/>
  <c r="AD39" i="7"/>
  <c r="AO39" i="7" s="1"/>
  <c r="BC39" i="7"/>
  <c r="AA39" i="7"/>
  <c r="Z39" i="7"/>
  <c r="AB39" i="7" s="1"/>
  <c r="R39" i="7"/>
  <c r="S39" i="7" s="1"/>
  <c r="L39" i="7"/>
  <c r="I39" i="7"/>
  <c r="E39" i="7"/>
  <c r="BS38" i="7"/>
  <c r="AQ38" i="7"/>
  <c r="AJ38" i="7"/>
  <c r="AI38" i="7"/>
  <c r="AH38" i="7"/>
  <c r="AG38" i="7"/>
  <c r="AF38" i="7"/>
  <c r="AE38" i="7"/>
  <c r="AM38" i="7" s="1"/>
  <c r="BK38" i="7" s="1"/>
  <c r="AD38" i="7"/>
  <c r="BC38" i="7"/>
  <c r="AA38" i="7"/>
  <c r="Z38" i="7"/>
  <c r="R38" i="7"/>
  <c r="S38" i="7" s="1"/>
  <c r="L38" i="7"/>
  <c r="I38" i="7"/>
  <c r="E38" i="7"/>
  <c r="BS37" i="7"/>
  <c r="AQ37" i="7"/>
  <c r="AJ37" i="7"/>
  <c r="AI37" i="7"/>
  <c r="AH37" i="7"/>
  <c r="AG37" i="7"/>
  <c r="AF37" i="7"/>
  <c r="AE37" i="7"/>
  <c r="AK37" i="7" s="1"/>
  <c r="AD37" i="7"/>
  <c r="AO37" i="7" s="1"/>
  <c r="AA37" i="7"/>
  <c r="Z37" i="7"/>
  <c r="AB37" i="7" s="1"/>
  <c r="R37" i="7"/>
  <c r="S37" i="7" s="1"/>
  <c r="L37" i="7"/>
  <c r="I37" i="7"/>
  <c r="E37" i="7"/>
  <c r="BS36" i="7"/>
  <c r="AQ36" i="7"/>
  <c r="AJ36" i="7"/>
  <c r="AI36" i="7"/>
  <c r="AH36" i="7"/>
  <c r="AG36" i="7"/>
  <c r="BD36" i="7" s="1"/>
  <c r="AF36" i="7"/>
  <c r="AE36" i="7"/>
  <c r="AM36" i="7" s="1"/>
  <c r="BK36" i="7" s="1"/>
  <c r="AD36" i="7"/>
  <c r="AA36" i="7"/>
  <c r="Z36" i="7"/>
  <c r="R36" i="7"/>
  <c r="S36" i="7" s="1"/>
  <c r="L36" i="7"/>
  <c r="I36" i="7"/>
  <c r="E36" i="7"/>
  <c r="BS35" i="7"/>
  <c r="AQ35" i="7"/>
  <c r="AJ35" i="7"/>
  <c r="AI35" i="7"/>
  <c r="AH35" i="7"/>
  <c r="AG35" i="7"/>
  <c r="BD35" i="7" s="1"/>
  <c r="AF35" i="7"/>
  <c r="AE35" i="7"/>
  <c r="AK35" i="7" s="1"/>
  <c r="AD35" i="7"/>
  <c r="BC35" i="7"/>
  <c r="AA35" i="7"/>
  <c r="Z35" i="7"/>
  <c r="R35" i="7"/>
  <c r="S35" i="7" s="1"/>
  <c r="L35" i="7"/>
  <c r="I35" i="7"/>
  <c r="E35" i="7"/>
  <c r="BS12" i="7"/>
  <c r="AQ12" i="7"/>
  <c r="AJ12" i="7"/>
  <c r="AI12" i="7"/>
  <c r="AH12" i="7"/>
  <c r="AG12" i="7"/>
  <c r="BD12" i="7" s="1"/>
  <c r="AF12" i="7"/>
  <c r="AE12" i="7"/>
  <c r="AM12" i="7" s="1"/>
  <c r="BK12" i="7" s="1"/>
  <c r="AD12" i="7"/>
  <c r="BC12" i="7"/>
  <c r="AA12" i="7"/>
  <c r="Z12" i="7"/>
  <c r="R12" i="7"/>
  <c r="S12" i="7" s="1"/>
  <c r="L12" i="7"/>
  <c r="I12" i="7"/>
  <c r="E12" i="7"/>
  <c r="BS8" i="7"/>
  <c r="AQ8" i="7"/>
  <c r="AJ8" i="7"/>
  <c r="AI8" i="7"/>
  <c r="AH8" i="7"/>
  <c r="AG8" i="7"/>
  <c r="BD8" i="7" s="1"/>
  <c r="AF8" i="7"/>
  <c r="AE8" i="7"/>
  <c r="AD8" i="7"/>
  <c r="AO8" i="7" s="1"/>
  <c r="BC8" i="7"/>
  <c r="AA8" i="7"/>
  <c r="Z8" i="7"/>
  <c r="R8" i="7"/>
  <c r="S8" i="7" s="1"/>
  <c r="L8" i="7"/>
  <c r="I8" i="7"/>
  <c r="E8" i="7"/>
  <c r="A4" i="7"/>
  <c r="BU3" i="7"/>
  <c r="BT3" i="7"/>
  <c r="S3" i="7"/>
  <c r="R3" i="7"/>
  <c r="N3" i="7"/>
  <c r="L3" i="7"/>
  <c r="K3" i="7"/>
  <c r="J3" i="7"/>
  <c r="I3" i="7"/>
  <c r="H3" i="7"/>
  <c r="G3" i="7"/>
  <c r="E3" i="7"/>
  <c r="C3" i="7"/>
  <c r="A3" i="7"/>
  <c r="BM8" i="7" l="1"/>
  <c r="BM12" i="7"/>
  <c r="AB46" i="7"/>
  <c r="AO36" i="7"/>
  <c r="AO62" i="7"/>
  <c r="AO67" i="7"/>
  <c r="AO66" i="7"/>
  <c r="AO38" i="7"/>
  <c r="AO35" i="7"/>
  <c r="AO48" i="7"/>
  <c r="AO50" i="7"/>
  <c r="AO12" i="7"/>
  <c r="BM48" i="7"/>
  <c r="BM49" i="7"/>
  <c r="BM51" i="7"/>
  <c r="BM52" i="7"/>
  <c r="BM65" i="7"/>
  <c r="BM68" i="7"/>
  <c r="BM50" i="7"/>
  <c r="BM58" i="7"/>
  <c r="BM53" i="7"/>
  <c r="BM54" i="7"/>
  <c r="BM55" i="7"/>
  <c r="BM62" i="7"/>
  <c r="BM56" i="7"/>
  <c r="BM45" i="7"/>
  <c r="BM40" i="7"/>
  <c r="BM46" i="7"/>
  <c r="BM37" i="7"/>
  <c r="BM38" i="7"/>
  <c r="BM39" i="7"/>
  <c r="BM36" i="7"/>
  <c r="BM35" i="7"/>
  <c r="BM64" i="7"/>
  <c r="BM63" i="7"/>
  <c r="BM59" i="7"/>
  <c r="BM60" i="7"/>
  <c r="BM57" i="7"/>
  <c r="BM67" i="7"/>
  <c r="BM66" i="7"/>
  <c r="AB66" i="7"/>
  <c r="AW64" i="7"/>
  <c r="AW62" i="7"/>
  <c r="AB62" i="7"/>
  <c r="AW65" i="7"/>
  <c r="AW67" i="7"/>
  <c r="AW66" i="7"/>
  <c r="BL8" i="7"/>
  <c r="AW8" i="7"/>
  <c r="AW12" i="7"/>
  <c r="AW36" i="7"/>
  <c r="AW37" i="7"/>
  <c r="AW38" i="7"/>
  <c r="BL39" i="7"/>
  <c r="AW39" i="7"/>
  <c r="AV40" i="7"/>
  <c r="AW40" i="7"/>
  <c r="AW46" i="7"/>
  <c r="BL45" i="7"/>
  <c r="AW45" i="7"/>
  <c r="AW48" i="7"/>
  <c r="AW49" i="7"/>
  <c r="AW50" i="7"/>
  <c r="AW51" i="7"/>
  <c r="AW52" i="7"/>
  <c r="AW53" i="7"/>
  <c r="AV54" i="7"/>
  <c r="AV55" i="7"/>
  <c r="AW55" i="7"/>
  <c r="BL56" i="7"/>
  <c r="AW56" i="7"/>
  <c r="AW57" i="7"/>
  <c r="BL58" i="7"/>
  <c r="AW58" i="7"/>
  <c r="AV60" i="7"/>
  <c r="AW60" i="7"/>
  <c r="AW59" i="7"/>
  <c r="AW63" i="7"/>
  <c r="AW68" i="7"/>
  <c r="K73" i="7"/>
  <c r="AQ73" i="7"/>
  <c r="R73" i="7"/>
  <c r="AB12" i="7"/>
  <c r="AU68" i="7"/>
  <c r="AU50" i="7"/>
  <c r="M50" i="7" s="1"/>
  <c r="AU51" i="7"/>
  <c r="AZ53" i="7"/>
  <c r="AB38" i="7"/>
  <c r="AK55" i="7"/>
  <c r="AL55" i="7" s="1"/>
  <c r="AR55" i="7" s="1"/>
  <c r="AZ37" i="7"/>
  <c r="AB60" i="7"/>
  <c r="AX40" i="7"/>
  <c r="AU35" i="7"/>
  <c r="M35" i="7" s="1"/>
  <c r="AU45" i="7"/>
  <c r="M45" i="7" s="1"/>
  <c r="AM40" i="7"/>
  <c r="AB65" i="7"/>
  <c r="AB64" i="7"/>
  <c r="AV56" i="7"/>
  <c r="AK60" i="7"/>
  <c r="BE60" i="7" s="1"/>
  <c r="AM65" i="7"/>
  <c r="BE65" i="7" s="1"/>
  <c r="AK68" i="7"/>
  <c r="BE68" i="7" s="1"/>
  <c r="BS63" i="7"/>
  <c r="AX35" i="7"/>
  <c r="AB35" i="7"/>
  <c r="BL55" i="7"/>
  <c r="AX64" i="7"/>
  <c r="AX48" i="7"/>
  <c r="AX54" i="7"/>
  <c r="BL54" i="7"/>
  <c r="AX67" i="7"/>
  <c r="AU8" i="7"/>
  <c r="BL12" i="7"/>
  <c r="AB8" i="7"/>
  <c r="BL40" i="7"/>
  <c r="BD46" i="7"/>
  <c r="AM35" i="7"/>
  <c r="AX37" i="7"/>
  <c r="BL37" i="7"/>
  <c r="AU37" i="7"/>
  <c r="AV38" i="7"/>
  <c r="AB45" i="7"/>
  <c r="AK39" i="7"/>
  <c r="AL39" i="7" s="1"/>
  <c r="AB36" i="7"/>
  <c r="BL52" i="7"/>
  <c r="AU58" i="7"/>
  <c r="AB63" i="7"/>
  <c r="AB50" i="7"/>
  <c r="BL57" i="7"/>
  <c r="AU53" i="7"/>
  <c r="AV57" i="7"/>
  <c r="AX60" i="7"/>
  <c r="AU63" i="7"/>
  <c r="M63" i="7" s="1"/>
  <c r="AX62" i="7"/>
  <c r="AM52" i="7"/>
  <c r="BK52" i="7" s="1"/>
  <c r="AU57" i="7"/>
  <c r="BL62" i="7"/>
  <c r="BL67" i="7"/>
  <c r="AT67" i="7"/>
  <c r="AZ65" i="7"/>
  <c r="AZ67" i="7"/>
  <c r="AU12" i="7"/>
  <c r="AX12" i="7"/>
  <c r="AU38" i="7"/>
  <c r="M38" i="7" s="1"/>
  <c r="AU36" i="7"/>
  <c r="M36" i="7" s="1"/>
  <c r="AV39" i="7"/>
  <c r="AT37" i="7"/>
  <c r="AV37" i="7"/>
  <c r="AU46" i="7"/>
  <c r="AK38" i="7"/>
  <c r="BF38" i="7" s="1"/>
  <c r="AT40" i="7"/>
  <c r="AV35" i="7"/>
  <c r="AZ40" i="7"/>
  <c r="AM46" i="7"/>
  <c r="BE46" i="7" s="1"/>
  <c r="AV52" i="7"/>
  <c r="AX57" i="7"/>
  <c r="AK59" i="7"/>
  <c r="BE59" i="7" s="1"/>
  <c r="AM63" i="7"/>
  <c r="BF63" i="7" s="1"/>
  <c r="BB62" i="7"/>
  <c r="AX49" i="7"/>
  <c r="AK49" i="7"/>
  <c r="AL49" i="7" s="1"/>
  <c r="BL59" i="7"/>
  <c r="AM64" i="7"/>
  <c r="BK64" i="7" s="1"/>
  <c r="BL49" i="7"/>
  <c r="AV53" i="7"/>
  <c r="AV49" i="7"/>
  <c r="AU55" i="7"/>
  <c r="AL58" i="7"/>
  <c r="AP58" i="7" s="1"/>
  <c r="AZ63" i="7"/>
  <c r="BQ64" i="7"/>
  <c r="AM54" i="7"/>
  <c r="BK54" i="7" s="1"/>
  <c r="AK56" i="7"/>
  <c r="BE56" i="7" s="1"/>
  <c r="AM58" i="7"/>
  <c r="BK58" i="7" s="1"/>
  <c r="AZ59" i="7"/>
  <c r="AK62" i="7"/>
  <c r="AL62" i="7" s="1"/>
  <c r="AP62" i="7" s="1"/>
  <c r="AV59" i="7"/>
  <c r="AX51" i="7"/>
  <c r="AX58" i="7"/>
  <c r="AX59" i="7"/>
  <c r="AK48" i="7"/>
  <c r="BF48" i="7" s="1"/>
  <c r="AB54" i="7"/>
  <c r="AZ58" i="7"/>
  <c r="AU65" i="7"/>
  <c r="BL66" i="7"/>
  <c r="AX66" i="7"/>
  <c r="BL65" i="7"/>
  <c r="AV65" i="7"/>
  <c r="AK67" i="7"/>
  <c r="AL67" i="7" s="1"/>
  <c r="AM67" i="7"/>
  <c r="BK67" i="7" s="1"/>
  <c r="AV67" i="7"/>
  <c r="AM66" i="7"/>
  <c r="BK66" i="7" s="1"/>
  <c r="AK66" i="7"/>
  <c r="AL66" i="7" s="1"/>
  <c r="AX68" i="7"/>
  <c r="AB68" i="7"/>
  <c r="AV66" i="7"/>
  <c r="BB12" i="7"/>
  <c r="BB35" i="7"/>
  <c r="BB52" i="7"/>
  <c r="BA54" i="7"/>
  <c r="BC63" i="7"/>
  <c r="BB56" i="7"/>
  <c r="BA63" i="7"/>
  <c r="BB67" i="7"/>
  <c r="BB65" i="7"/>
  <c r="BA37" i="7"/>
  <c r="BB39" i="7"/>
  <c r="BB50" i="7"/>
  <c r="AZ64" i="7"/>
  <c r="BA67" i="7"/>
  <c r="AZ68" i="7"/>
  <c r="BB8" i="7"/>
  <c r="AZ39" i="7"/>
  <c r="BA46" i="7"/>
  <c r="BC37" i="7"/>
  <c r="BB40" i="7"/>
  <c r="BC40" i="7"/>
  <c r="BC60" i="7"/>
  <c r="AZ60" i="7"/>
  <c r="BC57" i="7"/>
  <c r="BB57" i="7"/>
  <c r="AZ57" i="7"/>
  <c r="BB63" i="7"/>
  <c r="BB58" i="7"/>
  <c r="BC58" i="7"/>
  <c r="BA62" i="7"/>
  <c r="BA59" i="7"/>
  <c r="BA64" i="7"/>
  <c r="BB53" i="7"/>
  <c r="BA55" i="7"/>
  <c r="BB59" i="7"/>
  <c r="BB64" i="7"/>
  <c r="BC53" i="7"/>
  <c r="BC59" i="7"/>
  <c r="BA51" i="7"/>
  <c r="BC65" i="7"/>
  <c r="BC67" i="7"/>
  <c r="L75" i="7" a="1"/>
  <c r="L75" i="7" s="1"/>
  <c r="N75" i="7" a="1"/>
  <c r="N75" i="7" s="1"/>
  <c r="M75" i="7"/>
  <c r="O87" i="7"/>
  <c r="AM8" i="7"/>
  <c r="AK8" i="7"/>
  <c r="AV8" i="7"/>
  <c r="AX8" i="7"/>
  <c r="AZ8" i="7"/>
  <c r="AV12" i="7"/>
  <c r="BA8" i="7"/>
  <c r="AK12" i="7"/>
  <c r="AZ12" i="7"/>
  <c r="BA12" i="7"/>
  <c r="BD38" i="7"/>
  <c r="BA38" i="7"/>
  <c r="BC36" i="7"/>
  <c r="BB36" i="7"/>
  <c r="BA36" i="7"/>
  <c r="AZ36" i="7"/>
  <c r="AL46" i="7"/>
  <c r="BB38" i="7"/>
  <c r="AZ38" i="7"/>
  <c r="AX38" i="7"/>
  <c r="AL40" i="7"/>
  <c r="AV46" i="7"/>
  <c r="BL46" i="7"/>
  <c r="AU39" i="7"/>
  <c r="AL35" i="7"/>
  <c r="BC45" i="7"/>
  <c r="BB45" i="7"/>
  <c r="AZ45" i="7"/>
  <c r="AL37" i="7"/>
  <c r="AX46" i="7"/>
  <c r="AM45" i="7"/>
  <c r="BK45" i="7" s="1"/>
  <c r="AK45" i="7"/>
  <c r="AM37" i="7"/>
  <c r="BK37" i="7" s="1"/>
  <c r="BB37" i="7"/>
  <c r="BD37" i="7"/>
  <c r="AZ46" i="7"/>
  <c r="AV45" i="7"/>
  <c r="AZ35" i="7"/>
  <c r="AV36" i="7"/>
  <c r="BB46" i="7"/>
  <c r="AX45" i="7"/>
  <c r="BA35" i="7"/>
  <c r="AX39" i="7"/>
  <c r="AX36" i="7"/>
  <c r="AW35" i="7"/>
  <c r="AU40" i="7"/>
  <c r="BA45" i="7"/>
  <c r="BQ45" i="7"/>
  <c r="AK36" i="7"/>
  <c r="BA39" i="7"/>
  <c r="BA40" i="7"/>
  <c r="BK62" i="7"/>
  <c r="AX52" i="7"/>
  <c r="AU52" i="7"/>
  <c r="AU49" i="7"/>
  <c r="AL52" i="7"/>
  <c r="AU54" i="7"/>
  <c r="M54" i="7" s="1"/>
  <c r="AL54" i="7"/>
  <c r="AK50" i="7"/>
  <c r="AM50" i="7"/>
  <c r="BK50" i="7" s="1"/>
  <c r="AV63" i="7"/>
  <c r="BL63" i="7"/>
  <c r="AM51" i="7"/>
  <c r="AK51" i="7"/>
  <c r="AM57" i="7"/>
  <c r="BK57" i="7" s="1"/>
  <c r="AK57" i="7"/>
  <c r="AL64" i="7"/>
  <c r="AX50" i="7"/>
  <c r="AU60" i="7"/>
  <c r="AZ54" i="7"/>
  <c r="BA57" i="7"/>
  <c r="BB48" i="7"/>
  <c r="AZ48" i="7"/>
  <c r="AZ49" i="7"/>
  <c r="BA48" i="7"/>
  <c r="BA49" i="7"/>
  <c r="BA50" i="7"/>
  <c r="AZ51" i="7"/>
  <c r="AX53" i="7"/>
  <c r="BB54" i="7"/>
  <c r="AP63" i="7"/>
  <c r="AT63" i="7" s="1"/>
  <c r="BB49" i="7"/>
  <c r="BL51" i="7"/>
  <c r="AV51" i="7"/>
  <c r="BA53" i="7"/>
  <c r="AU56" i="7"/>
  <c r="AX56" i="7"/>
  <c r="BD48" i="7"/>
  <c r="BB51" i="7"/>
  <c r="AZ52" i="7"/>
  <c r="AV58" i="7"/>
  <c r="BA60" i="7"/>
  <c r="AR63" i="7"/>
  <c r="BC62" i="7"/>
  <c r="AZ62" i="7"/>
  <c r="BL48" i="7"/>
  <c r="BD49" i="7"/>
  <c r="BD50" i="7"/>
  <c r="BD51" i="7"/>
  <c r="BA52" i="7"/>
  <c r="AZ56" i="7"/>
  <c r="BB60" i="7"/>
  <c r="AV64" i="7"/>
  <c r="AU62" i="7"/>
  <c r="AV62" i="7"/>
  <c r="BL50" i="7"/>
  <c r="BA56" i="7"/>
  <c r="AK53" i="7"/>
  <c r="BL53" i="7"/>
  <c r="AX55" i="7"/>
  <c r="BA58" i="7"/>
  <c r="AT48" i="7"/>
  <c r="AT49" i="7"/>
  <c r="AZ55" i="7"/>
  <c r="BD63" i="7"/>
  <c r="BQ63" i="7"/>
  <c r="AU48" i="7"/>
  <c r="AV48" i="7"/>
  <c r="AZ50" i="7"/>
  <c r="AU59" i="7"/>
  <c r="AU64" i="7"/>
  <c r="M64" i="7" s="1"/>
  <c r="AV50" i="7"/>
  <c r="BB55" i="7"/>
  <c r="AX63" i="7"/>
  <c r="AT57" i="7"/>
  <c r="BL64" i="7"/>
  <c r="AL65" i="7"/>
  <c r="BD65" i="7"/>
  <c r="BA65" i="7"/>
  <c r="BD66" i="7"/>
  <c r="BA66" i="7"/>
  <c r="AX65" i="7"/>
  <c r="BD67" i="7"/>
  <c r="AZ66" i="7"/>
  <c r="AV68" i="7"/>
  <c r="BB66" i="7"/>
  <c r="AU67" i="7"/>
  <c r="BA68" i="7"/>
  <c r="BB68" i="7"/>
  <c r="AU66" i="7"/>
  <c r="AT62" i="7" l="1"/>
  <c r="BF65" i="7"/>
  <c r="BL36" i="7"/>
  <c r="BL68" i="7"/>
  <c r="BL38" i="7"/>
  <c r="AW54" i="7"/>
  <c r="AY54" i="7" s="1" a="1"/>
  <c r="AY54" i="7" s="1"/>
  <c r="BF55" i="7"/>
  <c r="BH55" i="7" s="1"/>
  <c r="AP55" i="7"/>
  <c r="AS55" i="7" s="1"/>
  <c r="AL60" i="7"/>
  <c r="AP60" i="7" s="1"/>
  <c r="BF60" i="7"/>
  <c r="BC73" i="7"/>
  <c r="L87" i="7" s="1"/>
  <c r="K87" i="7" s="1"/>
  <c r="BD73" i="7"/>
  <c r="BS73" i="7"/>
  <c r="AU73" i="7"/>
  <c r="S73" i="7"/>
  <c r="AL68" i="7"/>
  <c r="AP68" i="7" s="1"/>
  <c r="BF68" i="7"/>
  <c r="AY40" i="7" a="1"/>
  <c r="AY40" i="7" s="1"/>
  <c r="M40" i="7" s="1"/>
  <c r="AY62" i="7" a="1"/>
  <c r="AY62" i="7" s="1"/>
  <c r="M62" i="7" s="1"/>
  <c r="BE58" i="7"/>
  <c r="AY35" i="7" a="1"/>
  <c r="AY35" i="7" s="1"/>
  <c r="BE54" i="7"/>
  <c r="BF54" i="7"/>
  <c r="BE67" i="7"/>
  <c r="BF67" i="7"/>
  <c r="BF66" i="7"/>
  <c r="AL48" i="7"/>
  <c r="BJ48" i="7" s="1"/>
  <c r="BE48" i="7"/>
  <c r="AY51" i="7" a="1"/>
  <c r="AY51" i="7" s="1"/>
  <c r="M51" i="7" s="1"/>
  <c r="BE49" i="7"/>
  <c r="BF49" i="7"/>
  <c r="AY59" i="7" a="1"/>
  <c r="AY59" i="7" s="1"/>
  <c r="M59" i="7" s="1"/>
  <c r="BE63" i="7"/>
  <c r="BK63" i="7"/>
  <c r="AY65" i="7" a="1"/>
  <c r="AY65" i="7" s="1"/>
  <c r="M65" i="7" s="1"/>
  <c r="AR58" i="7"/>
  <c r="BJ58" i="7"/>
  <c r="AR62" i="7"/>
  <c r="AS62" i="7" s="1"/>
  <c r="BE64" i="7"/>
  <c r="BE52" i="7"/>
  <c r="BJ62" i="7"/>
  <c r="BF52" i="7"/>
  <c r="BF64" i="7"/>
  <c r="BE62" i="7"/>
  <c r="BF62" i="7"/>
  <c r="BK40" i="7"/>
  <c r="BF40" i="7"/>
  <c r="BE40" i="7"/>
  <c r="BF39" i="7"/>
  <c r="BE39" i="7"/>
  <c r="AY52" i="7" a="1"/>
  <c r="AY52" i="7" s="1"/>
  <c r="M52" i="7" s="1"/>
  <c r="AY53" i="7" a="1"/>
  <c r="AY53" i="7" s="1"/>
  <c r="M53" i="7" s="1"/>
  <c r="BK46" i="7"/>
  <c r="BF46" i="7"/>
  <c r="AY12" i="7" a="1"/>
  <c r="AY12" i="7" s="1"/>
  <c r="M12" i="7" s="1"/>
  <c r="BK35" i="7"/>
  <c r="BF35" i="7"/>
  <c r="BE35" i="7"/>
  <c r="BJ55" i="7"/>
  <c r="BE55" i="7"/>
  <c r="BG55" i="7" s="1"/>
  <c r="AL38" i="7"/>
  <c r="BJ38" i="7" s="1"/>
  <c r="BE38" i="7"/>
  <c r="AY37" i="7" a="1"/>
  <c r="AY37" i="7" s="1"/>
  <c r="M37" i="7" s="1"/>
  <c r="AY56" i="7" a="1"/>
  <c r="AY56" i="7" s="1"/>
  <c r="M56" i="7" s="1"/>
  <c r="AY50" i="7" a="1"/>
  <c r="AY50" i="7" s="1"/>
  <c r="AY57" i="7" a="1"/>
  <c r="AY57" i="7" s="1"/>
  <c r="M57" i="7" s="1"/>
  <c r="AY66" i="7" a="1"/>
  <c r="AY66" i="7" s="1"/>
  <c r="M66" i="7" s="1"/>
  <c r="AY67" i="7" a="1"/>
  <c r="AY67" i="7" s="1"/>
  <c r="M67" i="7" s="1"/>
  <c r="AY49" i="7" a="1"/>
  <c r="AY49" i="7" s="1"/>
  <c r="M49" i="7" s="1"/>
  <c r="AY55" i="7" a="1"/>
  <c r="AY55" i="7" s="1"/>
  <c r="M55" i="7" s="1"/>
  <c r="AY64" i="7" a="1"/>
  <c r="AY64" i="7" s="1"/>
  <c r="AS63" i="7"/>
  <c r="AY58" i="7" a="1"/>
  <c r="AY58" i="7" s="1"/>
  <c r="M58" i="7" s="1"/>
  <c r="BF58" i="7"/>
  <c r="BE66" i="7"/>
  <c r="AL56" i="7"/>
  <c r="BF56" i="7"/>
  <c r="BF59" i="7"/>
  <c r="AL59" i="7"/>
  <c r="AY68" i="7" a="1"/>
  <c r="AY68" i="7" s="1"/>
  <c r="M68" i="7" s="1"/>
  <c r="AY39" i="7" a="1"/>
  <c r="AY39" i="7" s="1"/>
  <c r="M39" i="7" s="1"/>
  <c r="AY46" i="7" a="1"/>
  <c r="AY46" i="7" s="1"/>
  <c r="M46" i="7" s="1"/>
  <c r="BJ52" i="7"/>
  <c r="AR52" i="7"/>
  <c r="AP52" i="7"/>
  <c r="BH63" i="7"/>
  <c r="BG63" i="7"/>
  <c r="AP64" i="7"/>
  <c r="AR64" i="7"/>
  <c r="BJ64" i="7"/>
  <c r="AL53" i="7"/>
  <c r="BF53" i="7"/>
  <c r="BE53" i="7"/>
  <c r="BF50" i="7"/>
  <c r="BE50" i="7"/>
  <c r="AL50" i="7"/>
  <c r="I79" i="7"/>
  <c r="I94" i="7" s="1"/>
  <c r="BE57" i="7"/>
  <c r="AL57" i="7"/>
  <c r="BF57" i="7"/>
  <c r="AY48" i="7" a="1"/>
  <c r="AY48" i="7" s="1"/>
  <c r="M48" i="7" s="1"/>
  <c r="BF51" i="7"/>
  <c r="BE51" i="7"/>
  <c r="AL51" i="7"/>
  <c r="AR54" i="7"/>
  <c r="AP54" i="7"/>
  <c r="AT54" i="7" s="1"/>
  <c r="BJ54" i="7"/>
  <c r="BJ66" i="7"/>
  <c r="AR66" i="7"/>
  <c r="AP66" i="7"/>
  <c r="AT66" i="7" s="1"/>
  <c r="BL60" i="7"/>
  <c r="AY60" i="7" a="1"/>
  <c r="AY60" i="7" s="1"/>
  <c r="M60" i="7" s="1"/>
  <c r="BJ67" i="7"/>
  <c r="AR67" i="7"/>
  <c r="AP67" i="7"/>
  <c r="BJ65" i="7"/>
  <c r="AR65" i="7"/>
  <c r="AP65" i="7"/>
  <c r="AP49" i="7"/>
  <c r="BJ49" i="7"/>
  <c r="AR49" i="7"/>
  <c r="AY63" i="7" a="1"/>
  <c r="AY63" i="7" s="1"/>
  <c r="BJ40" i="7"/>
  <c r="AR40" i="7"/>
  <c r="AP40" i="7"/>
  <c r="I83" i="7"/>
  <c r="I88" i="7"/>
  <c r="I87" i="7"/>
  <c r="Q92" i="7" s="1"/>
  <c r="I86" i="7"/>
  <c r="H95" i="7"/>
  <c r="H94" i="7"/>
  <c r="BJ46" i="7"/>
  <c r="AR46" i="7"/>
  <c r="AP46" i="7"/>
  <c r="AT46" i="7" s="1"/>
  <c r="BL35" i="7"/>
  <c r="O80" i="7"/>
  <c r="O84" i="7"/>
  <c r="O79" i="7"/>
  <c r="O83" i="7"/>
  <c r="L83" i="7"/>
  <c r="L84" i="7"/>
  <c r="L79" i="7"/>
  <c r="BF45" i="7"/>
  <c r="BE45" i="7"/>
  <c r="AL45" i="7"/>
  <c r="BJ35" i="7"/>
  <c r="AR35" i="7"/>
  <c r="AP35" i="7"/>
  <c r="AY8" i="7" a="1"/>
  <c r="AY8" i="7" s="1"/>
  <c r="AP39" i="7"/>
  <c r="BJ39" i="7"/>
  <c r="AR39" i="7"/>
  <c r="BE37" i="7"/>
  <c r="AL12" i="7"/>
  <c r="BF12" i="7"/>
  <c r="BE12" i="7"/>
  <c r="BE36" i="7"/>
  <c r="AL36" i="7"/>
  <c r="BF36" i="7"/>
  <c r="BF37" i="7"/>
  <c r="AY38" i="7" a="1"/>
  <c r="AY38" i="7" s="1"/>
  <c r="AY36" i="7" a="1"/>
  <c r="AY36" i="7" s="1"/>
  <c r="BJ37" i="7"/>
  <c r="AR37" i="7"/>
  <c r="AP37" i="7"/>
  <c r="AY45" i="7" a="1"/>
  <c r="AY45" i="7" s="1"/>
  <c r="BF8" i="7"/>
  <c r="BE8" i="7"/>
  <c r="AL8" i="7"/>
  <c r="BJ60" i="7" l="1"/>
  <c r="AR60" i="7"/>
  <c r="AS60" i="7" s="1"/>
  <c r="M8" i="7"/>
  <c r="AY73" i="7"/>
  <c r="AR68" i="7"/>
  <c r="BH68" i="7" s="1"/>
  <c r="BJ68" i="7"/>
  <c r="BG58" i="7"/>
  <c r="AP48" i="7"/>
  <c r="AR48" i="7"/>
  <c r="BH48" i="7" s="1"/>
  <c r="AP38" i="7"/>
  <c r="AT38" i="7" s="1"/>
  <c r="AR38" i="7"/>
  <c r="BH38" i="7" s="1"/>
  <c r="AS58" i="7"/>
  <c r="BH58" i="7"/>
  <c r="BH62" i="7"/>
  <c r="BG62" i="7"/>
  <c r="BI55" i="7"/>
  <c r="BQ55" i="7" s="1"/>
  <c r="AS39" i="7"/>
  <c r="AS37" i="7"/>
  <c r="AS49" i="7"/>
  <c r="AS66" i="7"/>
  <c r="AS40" i="7"/>
  <c r="AS46" i="7"/>
  <c r="L80" i="7"/>
  <c r="L81" i="7" s="1"/>
  <c r="L82" i="7" s="1"/>
  <c r="AR56" i="7"/>
  <c r="BJ56" i="7"/>
  <c r="AP56" i="7"/>
  <c r="AS52" i="7"/>
  <c r="AS67" i="7"/>
  <c r="BJ59" i="7"/>
  <c r="AR59" i="7"/>
  <c r="AP59" i="7"/>
  <c r="I89" i="7"/>
  <c r="O81" i="7"/>
  <c r="O82" i="7" s="1"/>
  <c r="L85" i="7"/>
  <c r="L89" i="7" s="1"/>
  <c r="O85" i="7"/>
  <c r="BH46" i="7"/>
  <c r="BG46" i="7"/>
  <c r="BH54" i="7"/>
  <c r="BG54" i="7"/>
  <c r="AT64" i="7"/>
  <c r="AS64" i="7"/>
  <c r="AR8" i="7"/>
  <c r="AP8" i="7"/>
  <c r="BJ8" i="7"/>
  <c r="BH39" i="7"/>
  <c r="BG39" i="7"/>
  <c r="AP57" i="7"/>
  <c r="AR57" i="7"/>
  <c r="BJ57" i="7"/>
  <c r="AT60" i="7"/>
  <c r="BH66" i="7"/>
  <c r="BG66" i="7"/>
  <c r="BJ50" i="7"/>
  <c r="AR50" i="7"/>
  <c r="AP50" i="7"/>
  <c r="AR45" i="7"/>
  <c r="AP45" i="7"/>
  <c r="BJ45" i="7"/>
  <c r="BI63" i="7"/>
  <c r="BJ12" i="7"/>
  <c r="AR12" i="7"/>
  <c r="AP12" i="7"/>
  <c r="AT12" i="7" s="1"/>
  <c r="AT68" i="7"/>
  <c r="I80" i="7"/>
  <c r="I95" i="7" s="1"/>
  <c r="BH52" i="7"/>
  <c r="BG52" i="7"/>
  <c r="AP36" i="7"/>
  <c r="BJ36" i="7"/>
  <c r="AR36" i="7"/>
  <c r="BJ51" i="7"/>
  <c r="AR51" i="7"/>
  <c r="AP51" i="7"/>
  <c r="BH37" i="7"/>
  <c r="BG37" i="7"/>
  <c r="BH67" i="7"/>
  <c r="BG67" i="7"/>
  <c r="AS35" i="7"/>
  <c r="AT35" i="7"/>
  <c r="BH35" i="7"/>
  <c r="BG35" i="7"/>
  <c r="BH49" i="7"/>
  <c r="BG49" i="7"/>
  <c r="AT65" i="7"/>
  <c r="AS65" i="7"/>
  <c r="BH65" i="7"/>
  <c r="BG65" i="7"/>
  <c r="AS54" i="7"/>
  <c r="BJ53" i="7"/>
  <c r="AR53" i="7"/>
  <c r="AP53" i="7"/>
  <c r="BH64" i="7"/>
  <c r="BG64" i="7"/>
  <c r="BH40" i="7"/>
  <c r="BG40" i="7"/>
  <c r="BG60" i="7" l="1"/>
  <c r="BH60" i="7"/>
  <c r="BJ73" i="7"/>
  <c r="AP73" i="7"/>
  <c r="BG68" i="7"/>
  <c r="BI68" i="7" s="1"/>
  <c r="BK68" i="7" s="1"/>
  <c r="BQ68" i="7" s="1"/>
  <c r="AS68" i="7"/>
  <c r="BI58" i="7"/>
  <c r="BQ58" i="7" s="1"/>
  <c r="BG48" i="7"/>
  <c r="BI48" i="7" s="1"/>
  <c r="BQ48" i="7" s="1"/>
  <c r="AS48" i="7"/>
  <c r="AS38" i="7"/>
  <c r="BG38" i="7"/>
  <c r="BI38" i="7" s="1"/>
  <c r="BQ38" i="7" s="1"/>
  <c r="BI62" i="7"/>
  <c r="BQ62" i="7" s="1"/>
  <c r="BI49" i="7"/>
  <c r="BQ49" i="7" s="1"/>
  <c r="BI64" i="7"/>
  <c r="BI46" i="7"/>
  <c r="BI65" i="7"/>
  <c r="BK65" i="7" s="1"/>
  <c r="BQ65" i="7" s="1"/>
  <c r="BI66" i="7"/>
  <c r="BQ66" i="7" s="1"/>
  <c r="AS59" i="7"/>
  <c r="AS56" i="7"/>
  <c r="BI52" i="7"/>
  <c r="BQ52" i="7" s="1"/>
  <c r="K91" i="7"/>
  <c r="L91" i="7"/>
  <c r="BH59" i="7"/>
  <c r="BG59" i="7"/>
  <c r="L90" i="7"/>
  <c r="BH56" i="7"/>
  <c r="BG56" i="7"/>
  <c r="BI37" i="7"/>
  <c r="BQ37" i="7" s="1"/>
  <c r="BG36" i="7"/>
  <c r="BH36" i="7"/>
  <c r="AS50" i="7"/>
  <c r="AT50" i="7"/>
  <c r="BH50" i="7"/>
  <c r="BG50" i="7"/>
  <c r="AS53" i="7"/>
  <c r="BI35" i="7"/>
  <c r="BQ35" i="7" s="1"/>
  <c r="BI67" i="7"/>
  <c r="BQ67" i="7" s="1"/>
  <c r="AT36" i="7"/>
  <c r="AS36" i="7"/>
  <c r="BH53" i="7"/>
  <c r="BG53" i="7"/>
  <c r="AS8" i="7"/>
  <c r="AT8" i="7"/>
  <c r="BH8" i="7"/>
  <c r="BG8" i="7"/>
  <c r="AS51" i="7"/>
  <c r="BH51" i="7"/>
  <c r="BG51" i="7"/>
  <c r="BI54" i="7"/>
  <c r="BQ54" i="7" s="1"/>
  <c r="BI40" i="7"/>
  <c r="BQ40" i="7" s="1"/>
  <c r="I81" i="7"/>
  <c r="I82" i="7" s="1"/>
  <c r="AS45" i="7"/>
  <c r="AT45" i="7"/>
  <c r="AS12" i="7"/>
  <c r="BG45" i="7"/>
  <c r="BH45" i="7"/>
  <c r="BH57" i="7"/>
  <c r="BG57" i="7"/>
  <c r="BH12" i="7"/>
  <c r="BG12" i="7"/>
  <c r="AS57" i="7"/>
  <c r="BI39" i="7"/>
  <c r="BI60" i="7" l="1"/>
  <c r="BK60" i="7" s="1"/>
  <c r="AT73" i="7"/>
  <c r="T84" i="7" s="1"/>
  <c r="I84" i="7" a="1"/>
  <c r="I84" i="7" s="1"/>
  <c r="BI51" i="7"/>
  <c r="BK51" i="7" s="1"/>
  <c r="BI53" i="7"/>
  <c r="BQ53" i="7" s="1"/>
  <c r="BI12" i="7"/>
  <c r="BQ12" i="7" s="1"/>
  <c r="BI56" i="7"/>
  <c r="BQ56" i="7" s="1"/>
  <c r="BI59" i="7"/>
  <c r="BI45" i="7"/>
  <c r="BI57" i="7"/>
  <c r="BQ57" i="7" s="1"/>
  <c r="BI50" i="7"/>
  <c r="BQ50" i="7" s="1"/>
  <c r="BI36" i="7"/>
  <c r="BQ36" i="7" s="1"/>
  <c r="BI8" i="7"/>
  <c r="BK39" i="7"/>
  <c r="BQ39" i="7"/>
  <c r="BO44" i="7" l="1"/>
  <c r="BP44" i="7"/>
  <c r="BN44" i="7"/>
  <c r="BO34" i="7"/>
  <c r="BP34" i="7"/>
  <c r="BN34" i="7"/>
  <c r="BO31" i="7"/>
  <c r="BP31" i="7"/>
  <c r="BN31" i="7"/>
  <c r="BO30" i="7"/>
  <c r="BP30" i="7"/>
  <c r="BN30" i="7"/>
  <c r="BO47" i="7"/>
  <c r="BN47" i="7"/>
  <c r="BP47" i="7"/>
  <c r="BN42" i="7"/>
  <c r="BP42" i="7"/>
  <c r="BO42" i="7"/>
  <c r="BO71" i="7"/>
  <c r="BP71" i="7"/>
  <c r="BN71" i="7"/>
  <c r="BN29" i="7"/>
  <c r="BO29" i="7"/>
  <c r="BP29" i="7"/>
  <c r="BO43" i="7"/>
  <c r="BP43" i="7"/>
  <c r="BN43" i="7"/>
  <c r="BO18" i="7"/>
  <c r="BP18" i="7"/>
  <c r="BN18" i="7"/>
  <c r="BO28" i="7"/>
  <c r="BP28" i="7"/>
  <c r="BN28" i="7"/>
  <c r="BO27" i="7"/>
  <c r="BP27" i="7"/>
  <c r="BN27" i="7"/>
  <c r="BO70" i="7"/>
  <c r="BP70" i="7"/>
  <c r="BN70" i="7"/>
  <c r="BO22" i="7"/>
  <c r="BN22" i="7"/>
  <c r="BP22" i="7"/>
  <c r="BO72" i="7"/>
  <c r="BP72" i="7"/>
  <c r="BN72" i="7"/>
  <c r="BO11" i="7"/>
  <c r="BP11" i="7"/>
  <c r="BN11" i="7"/>
  <c r="BO16" i="7"/>
  <c r="BP16" i="7"/>
  <c r="BN16" i="7"/>
  <c r="BO25" i="7"/>
  <c r="BP25" i="7"/>
  <c r="BN25" i="7"/>
  <c r="BO20" i="7"/>
  <c r="BP20" i="7"/>
  <c r="BN20" i="7"/>
  <c r="BO14" i="7"/>
  <c r="BP14" i="7"/>
  <c r="BN14" i="7"/>
  <c r="BQ60" i="7"/>
  <c r="BO60" i="7" s="1"/>
  <c r="BO26" i="7"/>
  <c r="BN26" i="7"/>
  <c r="BP26" i="7"/>
  <c r="BO23" i="7"/>
  <c r="BP23" i="7"/>
  <c r="BN23" i="7"/>
  <c r="BO10" i="7"/>
  <c r="BP10" i="7"/>
  <c r="BN10" i="7"/>
  <c r="BO33" i="7"/>
  <c r="BP33" i="7"/>
  <c r="BN33" i="7"/>
  <c r="BO24" i="7"/>
  <c r="BP24" i="7"/>
  <c r="BN24" i="7"/>
  <c r="BO9" i="7"/>
  <c r="BP9" i="7"/>
  <c r="BN9" i="7"/>
  <c r="BO61" i="7"/>
  <c r="BP61" i="7"/>
  <c r="BN61" i="7"/>
  <c r="BO32" i="7"/>
  <c r="BP32" i="7"/>
  <c r="BN32" i="7"/>
  <c r="BO21" i="7"/>
  <c r="BP21" i="7"/>
  <c r="BN21" i="7"/>
  <c r="BO41" i="7"/>
  <c r="BP41" i="7"/>
  <c r="BN41" i="7"/>
  <c r="BO17" i="7"/>
  <c r="BP17" i="7"/>
  <c r="BN17" i="7"/>
  <c r="BO19" i="7"/>
  <c r="BP19" i="7"/>
  <c r="BN19" i="7"/>
  <c r="BO15" i="7"/>
  <c r="BP15" i="7"/>
  <c r="BN15" i="7"/>
  <c r="BO13" i="7"/>
  <c r="BP13" i="7"/>
  <c r="BN13" i="7"/>
  <c r="BO69" i="7"/>
  <c r="BN69" i="7"/>
  <c r="BP69" i="7"/>
  <c r="BQ51" i="7"/>
  <c r="BO51" i="7" s="1"/>
  <c r="BN68" i="7"/>
  <c r="BP66" i="7"/>
  <c r="BN67" i="7"/>
  <c r="BO65" i="7"/>
  <c r="BP68" i="7"/>
  <c r="BP67" i="7"/>
  <c r="BO66" i="7"/>
  <c r="BN65" i="7"/>
  <c r="BO68" i="7"/>
  <c r="BP65" i="7"/>
  <c r="BO67" i="7"/>
  <c r="BN59" i="7"/>
  <c r="BO54" i="7"/>
  <c r="BO58" i="7"/>
  <c r="BP63" i="7"/>
  <c r="BP50" i="7"/>
  <c r="BP54" i="7"/>
  <c r="BP64" i="7"/>
  <c r="BP55" i="7"/>
  <c r="BO56" i="7"/>
  <c r="BP58" i="7"/>
  <c r="BO55" i="7"/>
  <c r="BO50" i="7"/>
  <c r="BO49" i="7"/>
  <c r="BN51" i="7"/>
  <c r="BN50" i="7"/>
  <c r="BN52" i="7"/>
  <c r="BO62" i="7"/>
  <c r="BP56" i="7"/>
  <c r="BP49" i="7"/>
  <c r="BO48" i="7"/>
  <c r="BN53" i="7"/>
  <c r="BP48" i="7"/>
  <c r="BN57" i="7"/>
  <c r="BO64" i="7"/>
  <c r="BP51" i="7"/>
  <c r="BP62" i="7"/>
  <c r="BN64" i="7"/>
  <c r="BO63" i="7"/>
  <c r="BP59" i="7"/>
  <c r="BN56" i="7"/>
  <c r="BN58" i="7"/>
  <c r="BN63" i="7"/>
  <c r="BP60" i="7"/>
  <c r="BO57" i="7"/>
  <c r="BP53" i="7"/>
  <c r="BO53" i="7"/>
  <c r="BN66" i="7"/>
  <c r="BN54" i="7"/>
  <c r="BN60" i="7"/>
  <c r="BP52" i="7"/>
  <c r="BO52" i="7"/>
  <c r="BN49" i="7"/>
  <c r="BN55" i="7"/>
  <c r="BN48" i="7"/>
  <c r="BN62" i="7"/>
  <c r="BP57" i="7"/>
  <c r="BO39" i="7"/>
  <c r="BN36" i="7"/>
  <c r="BP46" i="7"/>
  <c r="BP38" i="7"/>
  <c r="BO38" i="7"/>
  <c r="BO46" i="7"/>
  <c r="BO35" i="7"/>
  <c r="BN35" i="7"/>
  <c r="BO40" i="7"/>
  <c r="BN40" i="7"/>
  <c r="BP39" i="7"/>
  <c r="BP40" i="7"/>
  <c r="BN37" i="7"/>
  <c r="BO36" i="7"/>
  <c r="BN38" i="7"/>
  <c r="BO37" i="7"/>
  <c r="BN45" i="7"/>
  <c r="BP35" i="7"/>
  <c r="BP36" i="7"/>
  <c r="BO45" i="7"/>
  <c r="BP37" i="7"/>
  <c r="BN39" i="7"/>
  <c r="BN46" i="7"/>
  <c r="BP45" i="7"/>
  <c r="BN12" i="7"/>
  <c r="BP8" i="7"/>
  <c r="BO12" i="7"/>
  <c r="BP12" i="7"/>
  <c r="BN8" i="7"/>
  <c r="BK59" i="7"/>
  <c r="BQ59" i="7"/>
  <c r="BO59" i="7" s="1"/>
  <c r="BK8" i="7"/>
  <c r="BQ8" i="7"/>
  <c r="BO8" i="7" s="1"/>
  <c r="BR44" i="7" l="1"/>
  <c r="BR34" i="7"/>
  <c r="BR31" i="7"/>
  <c r="BR42" i="7"/>
  <c r="BR30" i="7"/>
  <c r="BR47" i="7"/>
  <c r="BR71" i="7"/>
  <c r="BR29" i="7"/>
  <c r="BR43" i="7"/>
  <c r="BR18" i="7"/>
  <c r="BR28" i="7"/>
  <c r="BR27" i="7"/>
  <c r="BR70" i="7"/>
  <c r="BR22" i="7"/>
  <c r="BR72" i="7"/>
  <c r="BR11" i="7"/>
  <c r="BR16" i="7"/>
  <c r="BR25" i="7"/>
  <c r="BR14" i="7"/>
  <c r="BR20" i="7"/>
  <c r="BR26" i="7"/>
  <c r="BK73" i="7"/>
  <c r="BR23" i="7"/>
  <c r="BR10" i="7"/>
  <c r="BR33" i="7"/>
  <c r="BR24" i="7"/>
  <c r="BR9" i="7"/>
  <c r="BR61" i="7"/>
  <c r="BR32" i="7"/>
  <c r="BR21" i="7"/>
  <c r="BR41" i="7"/>
  <c r="BR17" i="7"/>
  <c r="BR15" i="7"/>
  <c r="BR19" i="7"/>
  <c r="BR13" i="7"/>
  <c r="BR69" i="7"/>
  <c r="BR59" i="7"/>
  <c r="BR63" i="7"/>
  <c r="BR68" i="7"/>
  <c r="BR52" i="7"/>
  <c r="BR8" i="7"/>
  <c r="BR46" i="7"/>
  <c r="BR66" i="7"/>
  <c r="BR50" i="7"/>
  <c r="BR67" i="7"/>
  <c r="BR64" i="7"/>
  <c r="BR55" i="7"/>
  <c r="BR48" i="7"/>
  <c r="BR53" i="7"/>
  <c r="BR62" i="7"/>
  <c r="BR58" i="7"/>
  <c r="BR40" i="7"/>
  <c r="BR56" i="7"/>
  <c r="BR39" i="7"/>
  <c r="BR54" i="7"/>
  <c r="BR35" i="7"/>
  <c r="BR51" i="7"/>
  <c r="BR38" i="7"/>
  <c r="BR45" i="7"/>
  <c r="BR49" i="7"/>
  <c r="BR37" i="7"/>
  <c r="BR57" i="7"/>
  <c r="BR60" i="7"/>
  <c r="BR12" i="7"/>
  <c r="BR36" i="7"/>
  <c r="BR65" i="7"/>
  <c r="BR73" i="7" l="1"/>
  <c r="I91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<sst xmlns="http://schemas.openxmlformats.org/spreadsheetml/2006/main" count="1152" uniqueCount="464">
  <si>
    <t>http://www.investopedia.com/terms/c/cagr.asp</t>
  </si>
  <si>
    <t>** Advanced Auto Criteria Fields</t>
  </si>
  <si>
    <t>Basis</t>
  </si>
  <si>
    <t>Proceeds</t>
  </si>
  <si>
    <t>Trade Specifics</t>
  </si>
  <si>
    <t>Calc Helpers</t>
  </si>
  <si>
    <t>Entry</t>
  </si>
  <si>
    <t>Exit</t>
  </si>
  <si>
    <t>Symbol</t>
  </si>
  <si>
    <t>Position</t>
  </si>
  <si>
    <t>Qty</t>
  </si>
  <si>
    <t>ID</t>
  </si>
  <si>
    <t>Trade ID</t>
  </si>
  <si>
    <t>Is Closed</t>
  </si>
  <si>
    <t>Acquire Date</t>
  </si>
  <si>
    <t>Basis Price</t>
  </si>
  <si>
    <t>Sell Date</t>
  </si>
  <si>
    <t>Proceeds Price</t>
  </si>
  <si>
    <t>Trans Date</t>
  </si>
  <si>
    <t>Days Held</t>
  </si>
  <si>
    <t>Months Held</t>
  </si>
  <si>
    <t>Visible</t>
  </si>
  <si>
    <t>Entry Fees</t>
  </si>
  <si>
    <t>Exit Fees</t>
  </si>
  <si>
    <t>Exp Date</t>
  </si>
  <si>
    <t>Strike Price</t>
  </si>
  <si>
    <t>Option Type</t>
  </si>
  <si>
    <t>Option Symbol</t>
  </si>
  <si>
    <t>Pricing Update Included</t>
  </si>
  <si>
    <t>Pricing Update Asset</t>
  </si>
  <si>
    <t>Pricing Update Symbol</t>
  </si>
  <si>
    <t>Trade Type</t>
  </si>
  <si>
    <t>Bias</t>
  </si>
  <si>
    <t>Source</t>
  </si>
  <si>
    <t>Entry Trigger</t>
  </si>
  <si>
    <t>Entry Commentary</t>
  </si>
  <si>
    <t>Entry Und Price</t>
  </si>
  <si>
    <t>Entry Fill Price</t>
  </si>
  <si>
    <t>Entry Fill Time</t>
  </si>
  <si>
    <t>Entry Day High</t>
  </si>
  <si>
    <t>Entry Day Low</t>
  </si>
  <si>
    <t>Entry Fill Score</t>
  </si>
  <si>
    <t>Entry URL</t>
  </si>
  <si>
    <t>Entry Order Type</t>
  </si>
  <si>
    <t>Entry LMT Amount</t>
  </si>
  <si>
    <t>Entry Trade</t>
  </si>
  <si>
    <t>Exit Trigger</t>
  </si>
  <si>
    <t>Exit Commentary</t>
  </si>
  <si>
    <t>Exit Und Price</t>
  </si>
  <si>
    <t>Exit Fill Price</t>
  </si>
  <si>
    <t>Exit Fill Time</t>
  </si>
  <si>
    <t>Exit Day High</t>
  </si>
  <si>
    <t>Exit Day Low</t>
  </si>
  <si>
    <t>Exit Fill Score</t>
  </si>
  <si>
    <t>Exit URL</t>
  </si>
  <si>
    <t>Exit Order Type</t>
  </si>
  <si>
    <t>Exit LMT Amount</t>
  </si>
  <si>
    <t>Exit Trade</t>
  </si>
  <si>
    <t>Roll</t>
  </si>
  <si>
    <t>GUID Lookup</t>
  </si>
  <si>
    <t>LNG</t>
  </si>
  <si>
    <t>Y</t>
  </si>
  <si>
    <t>BULLISH</t>
  </si>
  <si>
    <t>OMM</t>
  </si>
  <si>
    <t>LMT</t>
  </si>
  <si>
    <t>OPEX</t>
  </si>
  <si>
    <t>Assignment</t>
  </si>
  <si>
    <t>SC</t>
  </si>
  <si>
    <t>C</t>
  </si>
  <si>
    <t>BTC rule</t>
  </si>
  <si>
    <t>Covered Call</t>
  </si>
  <si>
    <t>EBF</t>
  </si>
  <si>
    <t>Sell-Off</t>
  </si>
  <si>
    <t>MKT</t>
  </si>
  <si>
    <t>NEUTRAL</t>
  </si>
  <si>
    <t>SMM</t>
  </si>
  <si>
    <t>Expiration</t>
  </si>
  <si>
    <t>LC</t>
  </si>
  <si>
    <t>SP</t>
  </si>
  <si>
    <t>Secured Puts</t>
  </si>
  <si>
    <t>Strangle</t>
  </si>
  <si>
    <t>Sarge</t>
  </si>
  <si>
    <t>l</t>
  </si>
  <si>
    <t>P</t>
  </si>
  <si>
    <t>Equity Long</t>
  </si>
  <si>
    <t>DownDay</t>
  </si>
  <si>
    <t>Up &amp; Out</t>
  </si>
  <si>
    <t>PremiumScraping</t>
  </si>
  <si>
    <t>Out</t>
  </si>
  <si>
    <t>alert</t>
  </si>
  <si>
    <t>ACB</t>
  </si>
  <si>
    <t>Diagonal</t>
  </si>
  <si>
    <t>Graddhy</t>
  </si>
  <si>
    <t>Buy 100 @ MKT</t>
  </si>
  <si>
    <t>AMZN</t>
  </si>
  <si>
    <t>FUBAR</t>
  </si>
  <si>
    <t>BA</t>
  </si>
  <si>
    <t>FCX</t>
  </si>
  <si>
    <t/>
  </si>
  <si>
    <t>Buy 800 @ MKT</t>
  </si>
  <si>
    <t>PLUG</t>
  </si>
  <si>
    <t>X</t>
  </si>
  <si>
    <t>Total</t>
  </si>
  <si>
    <t>Trades</t>
  </si>
  <si>
    <t>Auto  Filters</t>
  </si>
  <si>
    <t>Filter Name</t>
  </si>
  <si>
    <t>Spec Name</t>
  </si>
  <si>
    <t>Comments</t>
  </si>
  <si>
    <t>Column Name1</t>
  </si>
  <si>
    <t>1st Criteria1</t>
  </si>
  <si>
    <t>1st Criteria Op1</t>
  </si>
  <si>
    <t>XlAutoFilter Op1</t>
  </si>
  <si>
    <t>2nd Criteria1</t>
  </si>
  <si>
    <t>2nd Criteria Op1</t>
  </si>
  <si>
    <t>Column Name2</t>
  </si>
  <si>
    <t>1st Criteria2</t>
  </si>
  <si>
    <t>1st Criteria Op2</t>
  </si>
  <si>
    <t>XlAutoFilter Op2</t>
  </si>
  <si>
    <t>2nd Criteria2</t>
  </si>
  <si>
    <t>2nd Criteria Op2</t>
  </si>
  <si>
    <t>Has Position</t>
  </si>
  <si>
    <t>xlFilterDynamic</t>
  </si>
  <si>
    <t>ebf_NotEqual</t>
  </si>
  <si>
    <t>FillScoresNeedingUpdate</t>
  </si>
  <si>
    <t>An intraday fill where High/Low unknown until after market close</t>
  </si>
  <si>
    <t>ebf_Equal</t>
  </si>
  <si>
    <t>{8EA7A1BB-7235-C18B-A5FC-AED62ECA6032}</t>
  </si>
  <si>
    <t>{73AB9C2C-3E11-C672-831B-8837BB6EB1AB}</t>
  </si>
  <si>
    <t>SymbolAndTrade</t>
  </si>
  <si>
    <t>Show all entries matching the selected Symbol and Trade</t>
  </si>
  <si>
    <t>{0664FCA6-B457-E2A5-8316-E87F3664828E}</t>
  </si>
  <si>
    <t>CoveredCallExpirationAnalysis</t>
  </si>
  <si>
    <t>CC Exp Date</t>
  </si>
  <si>
    <t>xlFilterToday</t>
  </si>
  <si>
    <t>{975E371D-31CA-407F-9B4F-E2F0C9E8A030}</t>
  </si>
  <si>
    <t>FitzFilter</t>
  </si>
  <si>
    <t>Show trades inspired by Dan</t>
  </si>
  <si>
    <t>xlOr</t>
  </si>
  <si>
    <t>{0D08A496-D669-424B-ACCF-A0DF065BB3CA}</t>
  </si>
  <si>
    <t>ViewName</t>
  </si>
  <si>
    <t>GroupName1</t>
  </si>
  <si>
    <t>GroupName2</t>
  </si>
  <si>
    <t>GroupName3</t>
  </si>
  <si>
    <t>AutoFilterName</t>
  </si>
  <si>
    <t>CriteriaFilterName</t>
  </si>
  <si>
    <t>ScrollToCol</t>
  </si>
  <si>
    <t>SortCol1</t>
  </si>
  <si>
    <t>SortDir1</t>
  </si>
  <si>
    <t>SortCol2</t>
  </si>
  <si>
    <t>SortDir2</t>
  </si>
  <si>
    <t>SortCol3</t>
  </si>
  <si>
    <t>SortDir3</t>
  </si>
  <si>
    <t>Asc</t>
  </si>
  <si>
    <t>{EE30261D-4DAD-40B1-9614-CFF0D8DE8329}</t>
  </si>
  <si>
    <t>{906F3EC2-4D08-49AC-9E14-417581B32AA8}</t>
  </si>
  <si>
    <t>{9FE3AF48-2FA0-922C-9146-5EF6422A66B5}</t>
  </si>
  <si>
    <t>Symbol Trade Filter</t>
  </si>
  <si>
    <t>{933917E4-C64E-9961-AAED-08E6A8875641}</t>
  </si>
  <si>
    <t>Trade Entry</t>
  </si>
  <si>
    <t>{4F165727-4982-EA86-8C7B-9C03125208A8}</t>
  </si>
  <si>
    <t>Trade Exit</t>
  </si>
  <si>
    <t>{C13A752B-E81B-6773-9193-E174DB4A4105}</t>
  </si>
  <si>
    <t>Fill Score Needs Update (Entry)</t>
  </si>
  <si>
    <t>{C4474517-3D9B-E581-A6E2-E95273F2058E}</t>
  </si>
  <si>
    <t>Fitzpatrick</t>
  </si>
  <si>
    <t>{023BE4E7-6AD3-49F1-A62C-18EBE0638E9D}</t>
  </si>
  <si>
    <t>Name</t>
  </si>
  <si>
    <t>Order</t>
  </si>
  <si>
    <t>Address</t>
  </si>
  <si>
    <t>Parent</t>
  </si>
  <si>
    <t>Level</t>
  </si>
  <si>
    <t>Last Updated:</t>
  </si>
  <si>
    <t>Validated:</t>
  </si>
  <si>
    <t>SMR</t>
  </si>
  <si>
    <t>Symnbol</t>
  </si>
  <si>
    <t>Unrealized</t>
  </si>
  <si>
    <t>Realized</t>
  </si>
  <si>
    <t>Is Short</t>
  </si>
  <si>
    <t>Is Long</t>
  </si>
  <si>
    <t>Shares*</t>
  </si>
  <si>
    <t>Cash</t>
  </si>
  <si>
    <t>ROI</t>
  </si>
  <si>
    <t>Simple</t>
  </si>
  <si>
    <t>Annualized</t>
  </si>
  <si>
    <t>Is Open</t>
  </si>
  <si>
    <t>P&amp;L</t>
  </si>
  <si>
    <t>Tactical</t>
  </si>
  <si>
    <t>Tax</t>
  </si>
  <si>
    <t>Performance</t>
  </si>
  <si>
    <t>In Tax View</t>
  </si>
  <si>
    <t>In Tactical View</t>
  </si>
  <si>
    <t>In Perf View</t>
  </si>
  <si>
    <t>Gain  / Loss</t>
  </si>
  <si>
    <t>Start</t>
  </si>
  <si>
    <t>End</t>
  </si>
  <si>
    <t>Dividends</t>
  </si>
  <si>
    <t>Potential</t>
  </si>
  <si>
    <t>Date Closed</t>
  </si>
  <si>
    <t>Date Opened</t>
  </si>
  <si>
    <t>Is Option</t>
  </si>
  <si>
    <t>Term (Days)</t>
  </si>
  <si>
    <t>Term (Yrs)</t>
  </si>
  <si>
    <t>Is DIV</t>
  </si>
  <si>
    <t>Is Short Put</t>
  </si>
  <si>
    <t>Is Short Call</t>
  </si>
  <si>
    <t>Short Put ACB</t>
  </si>
  <si>
    <t>Is Naked Short</t>
  </si>
  <si>
    <t>Long Share Equivalent</t>
  </si>
  <si>
    <t>Share Equivalent</t>
  </si>
  <si>
    <t>Non Option Date Closed</t>
  </si>
  <si>
    <t>Open Option Date Closed</t>
  </si>
  <si>
    <t>Close Option Date Closed</t>
  </si>
  <si>
    <t>Naked Short Share Equivalent</t>
  </si>
  <si>
    <t>Covered Short Share Equivalent</t>
  </si>
  <si>
    <t>Equity ACB</t>
  </si>
  <si>
    <t>Long Option ACB</t>
  </si>
  <si>
    <t>Is Naked Call</t>
  </si>
  <si>
    <t>Is ACB Put</t>
  </si>
  <si>
    <t>ACB Put Share Equivalent</t>
  </si>
  <si>
    <t>Is PLUG</t>
  </si>
  <si>
    <t>Naked Call ACB</t>
  </si>
  <si>
    <t>Premium Input</t>
  </si>
  <si>
    <t>Premium Offset Input</t>
  </si>
  <si>
    <t>Normal Short Premium</t>
  </si>
  <si>
    <t>Option Helpers</t>
  </si>
  <si>
    <t>Info Flags</t>
  </si>
  <si>
    <t>Share Equivalent Calcs</t>
  </si>
  <si>
    <t>Premium ACB</t>
  </si>
  <si>
    <t>Premium Offset ACB</t>
  </si>
  <si>
    <t>Net Short Premium ACB</t>
  </si>
  <si>
    <t>MTM</t>
  </si>
  <si>
    <t>Plug Type</t>
  </si>
  <si>
    <t>Notes</t>
  </si>
  <si>
    <t>$V$7:$Y$7</t>
  </si>
  <si>
    <t>$H$7:$L$7</t>
  </si>
  <si>
    <t>ACB P&amp;L</t>
  </si>
  <si>
    <t>Weighted ACB</t>
  </si>
  <si>
    <t>ACB Share Equivalent</t>
  </si>
  <si>
    <t>Date Range Calcs</t>
  </si>
  <si>
    <t>Is In Weighted ACB</t>
  </si>
  <si>
    <t>Prelim Weighted ACB</t>
  </si>
  <si>
    <t>ACB Shares</t>
  </si>
  <si>
    <t>Is PLUG Type</t>
  </si>
  <si>
    <t>PLUG Usage Guidelines.docx</t>
  </si>
  <si>
    <t>$AU$7:$AX$7</t>
  </si>
  <si>
    <t>$AO$7:$AS$7</t>
  </si>
  <si>
    <t>$AC$7:$AM$7</t>
  </si>
  <si>
    <t>CLL</t>
  </si>
  <si>
    <t>PUT</t>
  </si>
  <si>
    <t>ACB Sign</t>
  </si>
  <si>
    <t>Mark-To-Market</t>
  </si>
  <si>
    <t>Premium Sold</t>
  </si>
  <si>
    <t>Realized Today</t>
  </si>
  <si>
    <t>Line Items closed out. Start with today &amp; use XL to vary dates as useful</t>
  </si>
  <si>
    <t>Premium written. Start with today &amp; use XL to vary dates as useful</t>
  </si>
  <si>
    <t>{38DE09D3-C6ED-453E-A48F-98DD21F67AF2}</t>
  </si>
  <si>
    <t>Mark To Market Update</t>
  </si>
  <si>
    <t>Show only MTMs</t>
  </si>
  <si>
    <t>Premium Writing</t>
  </si>
  <si>
    <t>MC Basis</t>
  </si>
  <si>
    <t>$CJ$7:$CS$7</t>
  </si>
  <si>
    <t>{B4B91EF8-A76C-4F9F-9120-1E45081C575D}</t>
  </si>
  <si>
    <t>$BX$7:$CG$7</t>
  </si>
  <si>
    <t>{BB918D8B-9C76-4C27-9823-4B4DD04AA6EA}</t>
  </si>
  <si>
    <t>$S$7:$BP$7</t>
  </si>
  <si>
    <t>{4F836FC2-A4C3-40BC-BA4F-60E2FB7E5A94}</t>
  </si>
  <si>
    <t>$BE$7:$BH$7</t>
  </si>
  <si>
    <t>{B19C9083-7030-4A6E-B207-FB82ED0F5D39}</t>
  </si>
  <si>
    <t>{72942DA7-F1C9-4D26-BCF8-7766CE658887}</t>
  </si>
  <si>
    <t>{CB150A91-B566-4C9D-83DB-EDBE14DB4C0E}</t>
  </si>
  <si>
    <t>{D8324358-714D-4DD3-9AA3-608F022C7C63}</t>
  </si>
  <si>
    <t>{E8F8696B-B5BC-464A-90CD-4AE5662F0AC0}</t>
  </si>
  <si>
    <t>{182805C5-5B56-4C03-BE64-191609FCD29A}</t>
  </si>
  <si>
    <t>article</t>
  </si>
  <si>
    <t>UUUU</t>
  </si>
  <si>
    <t>DeltaThrust</t>
  </si>
  <si>
    <t>{9C4C1414-46F8-46A8-BB7B-05215505FA03}</t>
  </si>
  <si>
    <t>{F5671468-1D47-48C2-9147-0AFA4A925BDD}</t>
  </si>
  <si>
    <t>SMR260220C00025000</t>
  </si>
  <si>
    <t>STO 8 Feb-20 $25.00 C @ 0.65</t>
  </si>
  <si>
    <t>{88E657F9-8667-4D6E-8E3A-D0A2AF391B90}</t>
  </si>
  <si>
    <t>SMR260220P00017000</t>
  </si>
  <si>
    <t>STO 8 Feb-20 $17.00 P @ 0.65</t>
  </si>
  <si>
    <t>{8D991283-F7B1-47A9-B164-06B1FB635796}</t>
  </si>
  <si>
    <t>Stop Loss @ $17.66</t>
  </si>
  <si>
    <t>BTC 8 Feb-20 $25.00 C @ 0.23</t>
  </si>
  <si>
    <t>{4E5E52F3-6EF8-417D-8566-B0D80EC58854}</t>
  </si>
  <si>
    <t>Assigned 8 SPs @ $17.00</t>
  </si>
  <si>
    <t>SMR260320C00016000</t>
  </si>
  <si>
    <t>{A6D42BF4-1360-4C31-AFF6-EF56FB833738}</t>
  </si>
  <si>
    <t>{AC754F77-0D0D-48BC-BECF-35098D656C56}</t>
  </si>
  <si>
    <t>STO 8 Mar-20 $16.00 C @ 0.44</t>
  </si>
  <si>
    <t>BTC 2 Mar-20 $16.00 C @ 0.38</t>
  </si>
  <si>
    <t>STO 2 Mar-20 $16.00 C @ 0.44</t>
  </si>
  <si>
    <t>FCX280121C00060000</t>
  </si>
  <si>
    <t>BTO 2 Jan-21 $60.00 C @ 16.75</t>
  </si>
  <si>
    <t>{1E689DBE-4A12-48F2-B30C-01D133B17791}</t>
  </si>
  <si>
    <t>BTO 2 Jan-21 $60.00 C @ 16.50</t>
  </si>
  <si>
    <t>{DD16D91B-6023-41DC-8E37-9FDB28B1ED99}</t>
  </si>
  <si>
    <t>Premium Scraping</t>
  </si>
  <si>
    <t>Delta Thrust</t>
  </si>
  <si>
    <t>Versace</t>
  </si>
  <si>
    <t>FCX260515C00075000</t>
  </si>
  <si>
    <t>STO 4 May-15 $75.00 C @ 1.22</t>
  </si>
  <si>
    <t>{ACC3A425-9F9E-4916-9F1A-0657944B9A7C}</t>
  </si>
  <si>
    <t>{231A7F8E-B823-4A4C-AB42-85D8A94767F3}</t>
  </si>
  <si>
    <t>SMR260424C00000150</t>
  </si>
  <si>
    <t>BTC 8 Apr-24 $0.15 C @ 0.35</t>
  </si>
  <si>
    <t>STO 8 Apr-24 $0.15 C @ 0.14</t>
  </si>
  <si>
    <t>{645FB3BB-DEC7-4C12-876D-68CD6F7CC219}</t>
  </si>
  <si>
    <t>SMR260501C00015000</t>
  </si>
  <si>
    <t>STO 8 May-1 $15.00 C @ 0.57</t>
  </si>
  <si>
    <t>{1FADD00E-D7FB-4CF8-8B74-06C3B40EF99B}</t>
  </si>
  <si>
    <t>TSM260618P00250000</t>
  </si>
  <si>
    <t>STO 1 Jun-18 $250.00 P @ 11.85</t>
  </si>
  <si>
    <t>{A3BFF155-9407-40FE-99C7-D46DBB1CDAF8}</t>
  </si>
  <si>
    <t>AMZN260618P00250000</t>
  </si>
  <si>
    <t>FCX260618P00065000</t>
  </si>
  <si>
    <t>STO 2 Jun-18 $65.00 P @ 5.65</t>
  </si>
  <si>
    <t>{E56F5802-91D0-4BBA-82BE-7CC49AA10D55}</t>
  </si>
  <si>
    <t>BTC 4 May-15 $75.00 C @ 0.25</t>
  </si>
  <si>
    <t>BTC 8 May-1 $15.00 C @ 0.02</t>
  </si>
  <si>
    <t>BTO 2 Jan-21 $60.00 C @ 14.00</t>
  </si>
  <si>
    <t>{86D39BFF-BBC5-4517-81BE-9340A8284C5D}</t>
  </si>
  <si>
    <t>FCX260121C00060000</t>
  </si>
  <si>
    <t>SMR260515C00014000</t>
  </si>
  <si>
    <t>STO 8 May-15 $14.00 C @ 0.42</t>
  </si>
  <si>
    <t>{F0617E65-4439-4D78-8661-76F9165FBCD3}</t>
  </si>
  <si>
    <t>UUUU260618P00017000</t>
  </si>
  <si>
    <t>STO 10 Jun-18 $17.00 P @ 0.86</t>
  </si>
  <si>
    <t>{74BE836E-DD7A-4D57-97CA-5BA9A1FAFA8D}</t>
  </si>
  <si>
    <t>SMR260529C00014000</t>
  </si>
  <si>
    <t>STO 8 May-29 $14.00 C @ 0.20</t>
  </si>
  <si>
    <t>{4C79BF68-0208-4AFE-A1B9-52477EEAC5F4}</t>
  </si>
  <si>
    <t>UUUU260717P00016000</t>
  </si>
  <si>
    <t>STO 10 Jul-17 $16.00 P @ 1.14</t>
  </si>
  <si>
    <t>{A290D993-426C-49B9-BC5D-5877F0F70C8B}</t>
  </si>
  <si>
    <t>FCX260618C00075000</t>
  </si>
  <si>
    <t>STO 6 Jun-18 $75.00 C @ 0.62</t>
  </si>
  <si>
    <t>{ECC335A8-B89E-4D6E-B379-49F5428868DE}</t>
  </si>
  <si>
    <t>SMR260605C00015000</t>
  </si>
  <si>
    <t>STO 8 Jun-5 $15.00 C @ 0.23</t>
  </si>
  <si>
    <t>{83D07D02-00B8-41B4-9CEE-95E06B7CB7E8}</t>
  </si>
  <si>
    <t>{C0C5F433-4AA2-45CD-9BDE-9D59330F8F74}</t>
  </si>
  <si>
    <t>SMR260605P00010500</t>
  </si>
  <si>
    <t>{0D89387C-4979-4257-8B68-D58FE3DEF9D1}</t>
  </si>
  <si>
    <t>SMR260612P00010500</t>
  </si>
  <si>
    <t>STO 8 Jun-12 $10.50 P @ 0.16</t>
  </si>
  <si>
    <t>BTC 8 Jun-12 $10.50 P @ 1.11</t>
  </si>
  <si>
    <t>SMR260626P00010500</t>
  </si>
  <si>
    <t>STO 8 Jun-26 $10.50 P @ 1.46</t>
  </si>
  <si>
    <t>{CBEAEDE1-56A0-46EA-BCF9-AEE65C6436A1}</t>
  </si>
  <si>
    <t>BTC 2 Jun-18 $65.00 P @ 0.20</t>
  </si>
  <si>
    <t>BTC 6 Jun-18 $75.00 C @ 0.22</t>
  </si>
  <si>
    <t>{97ACE0F7-0F03-4680-BC3A-D61627D9B5F0}</t>
  </si>
  <si>
    <t>Assigned 1 SP @ $25.00</t>
  </si>
  <si>
    <t>BTC 10 Jun-18 $17.00 P @ 0.82</t>
  </si>
  <si>
    <t>UUUU260717P00017000</t>
  </si>
  <si>
    <t>STO 10 Jul-17 $17.00 P @ 1.94</t>
  </si>
  <si>
    <t>{E7504E2C-3DFC-4271-AE2C-0694107B0ADB}</t>
  </si>
  <si>
    <t>{3E86D1D8-C615-4FCB-B827-9DF471971051}</t>
  </si>
  <si>
    <t>BA260717P00210000</t>
  </si>
  <si>
    <t>STO 1 Jul-17 $210.00 P @ 3.19</t>
  </si>
  <si>
    <t>{C0DAA9EE-359A-4F08-A7FE-35BD01EC1257}</t>
  </si>
  <si>
    <t>FCX260626C00073000</t>
  </si>
  <si>
    <t>STO 6 Jun-26 $73.00 C @ 0.66</t>
  </si>
  <si>
    <t>{7B222262-93EA-4D21-B908-50BA24F70703}</t>
  </si>
  <si>
    <t>{0CABB293-366C-4BA9-896F-BC5BE546419F}</t>
  </si>
  <si>
    <t>DRAM</t>
  </si>
  <si>
    <t>Buy 100 Pre Market</t>
  </si>
  <si>
    <t>{036A08C0-3CD3-4720-AF71-AA239F8AFF54}</t>
  </si>
  <si>
    <t>{06/25/26 @ 07:17 AM}: Huge selloff in Korea spead to US day before $MU to report ER</t>
  </si>
  <si>
    <t>{E63DE645-E06B-49C0-B170-E85A216A23EC}</t>
  </si>
  <si>
    <t>{43F2253C-3F7C-4A66-ABD1-7D3CE1BC4E31}</t>
  </si>
  <si>
    <t>{F533900D-A087-4C0F-954F-A9C536A33CE1}</t>
  </si>
  <si>
    <t>{99ADC5DB-A559-4B56-B271-9A33C30EF6D6}</t>
  </si>
  <si>
    <t>BTC 8 Jun-26 $10.50 P @ 0.54</t>
  </si>
  <si>
    <t>SMR260710P00010500</t>
  </si>
  <si>
    <t>STO 8 Jul-10 $10.50 P @ 1.04</t>
  </si>
  <si>
    <t>{AA3E0261-EAC2-45BF-85F4-7A5EB0316C92}</t>
  </si>
  <si>
    <t>AMZN260702C00240000</t>
  </si>
  <si>
    <t>STO 1 Jul-2 $240.00 C @ 1.06</t>
  </si>
  <si>
    <t>{FEEDB3EB-67AA-41EC-ADE0-5A697BA77620}</t>
  </si>
  <si>
    <t>DRAM260702P00060000</t>
  </si>
  <si>
    <t>STO 10 Jul-2 $60.00 P @ 0.54</t>
  </si>
  <si>
    <t>{DD2D7DC1-D2A4-43DA-A493-67752E119164}</t>
  </si>
  <si>
    <t>BTC 1 Jul-2 $240.00 C @ 6.80</t>
  </si>
  <si>
    <t>{070EF3BE-C6A0-40BD-9E52-8C211D310BC6}</t>
  </si>
  <si>
    <t>DRAM260702C00078000</t>
  </si>
  <si>
    <t>STO 10 Jul-2 $78.00 C @ 0.56</t>
  </si>
  <si>
    <t>{B5326768-2C78-488C-890B-C28C25CFE538}</t>
  </si>
  <si>
    <t>DRAM260710C00070000</t>
  </si>
  <si>
    <t>STO 10 Jul-10 $70.00 C @ 1.40</t>
  </si>
  <si>
    <t>{7D4740F9-DFBA-49CE-A23B-E822956D48C3}</t>
  </si>
  <si>
    <t>BTC Rule</t>
  </si>
  <si>
    <t>ZUO260710C00137500</t>
  </si>
  <si>
    <t>STO 1 Jul-10 $137.50 C @ 1.41</t>
  </si>
  <si>
    <t>{B2571DB1-BD10-487D-AD38-F590EDC45C12}</t>
  </si>
  <si>
    <t>DRAM260710P00055000</t>
  </si>
  <si>
    <t>STO 10 Jul-10 $55.00 P @ 1.10</t>
  </si>
  <si>
    <t>{98F5F911-D791-4C1D-9B7F-2CAC11052264}</t>
  </si>
  <si>
    <t>BTC 10 Jul-10 $55.00 P @ 0.10</t>
  </si>
  <si>
    <t>Early Assignment</t>
  </si>
  <si>
    <t>Assigned 8 SP's @ 10.50</t>
  </si>
  <si>
    <t>BTC 1 Jul-17 $210.00 P @ 0.46</t>
  </si>
  <si>
    <t>BA260724C00230000</t>
  </si>
  <si>
    <t>STO 1 Jul-24 $230.00 C @ 1.27</t>
  </si>
  <si>
    <t>{54E746A8-D4A5-4C9A-A6FA-A048D6D7F060}</t>
  </si>
  <si>
    <t>AMZN260821C00250000</t>
  </si>
  <si>
    <t>STO 1 Aug-21 $250.00 C @ 16.83</t>
  </si>
  <si>
    <t>{393F8FED-A28D-43A2-A255-BE631D45AFD6}</t>
  </si>
  <si>
    <t>AMZN260724C00245000</t>
  </si>
  <si>
    <t>BTC 1 Jul-24 $245.00 C @ 12.13</t>
  </si>
  <si>
    <t>STO 1 Jul-24 $245.00 C @ 9.30</t>
  </si>
  <si>
    <t>{48FD8543-52ED-4A60-8C8E-1D9FC1673C86}</t>
  </si>
  <si>
    <t>Assigned 10 SPs @ $16.00</t>
  </si>
  <si>
    <t>Assigned 10 SPs @ $17.00</t>
  </si>
  <si>
    <t>{60B4249B-CD43-48EF-9284-96F2D43CBB21}</t>
  </si>
  <si>
    <t>DRAM260624P00046000</t>
  </si>
  <si>
    <t>STO 10 Jun-24 $46.00 P @ 1.13</t>
  </si>
  <si>
    <t>{B6147090-A0FB-4047-8748-7979C59A48AF}</t>
  </si>
  <si>
    <t>UUUU260731C00013000</t>
  </si>
  <si>
    <t>STO 20 Jul-31 $13.00 C @ 0.16</t>
  </si>
  <si>
    <t>{D6D1CC8B-7F94-40ED-BB05-78026785DF9B}</t>
  </si>
  <si>
    <t>DRAM260724C00066000</t>
  </si>
  <si>
    <t>STO 10 Jul-24 $66.00 C @ 0.36</t>
  </si>
  <si>
    <t>{369934F7-0991-49D7-B21D-B6930B1B8D01}</t>
  </si>
  <si>
    <t>{F6FDE4BC-B749-475E-A19C-DCE0114E388A}</t>
  </si>
  <si>
    <t>BTC 20 Jul-31 $13.00 C @ 0.01</t>
  </si>
  <si>
    <t>DRAM260807P00045000</t>
  </si>
  <si>
    <t>STO 10 Aug-7 $45.00 P @ 0.92</t>
  </si>
  <si>
    <t>{2E1D9C5E-2D3A-4702-9270-C4FD1B8B61A2}</t>
  </si>
  <si>
    <t>{E03E907D-15A9-4AA4-A80D-665E42F8D20F}</t>
  </si>
  <si>
    <t>BA260821C00240000</t>
  </si>
  <si>
    <t>STO 1 Aug-21 $240.00 C @ 2.51</t>
  </si>
  <si>
    <t>{34622761-EE3E-48AB-A147-6BA951F0D160}</t>
  </si>
  <si>
    <t>{08/03/26 @ 02:46 PM}: meant to sell a WEEKLY, didn't realize I had sold a MONTHLY</t>
  </si>
  <si>
    <t>FCX260821C00072000</t>
  </si>
  <si>
    <t>STO 6 Aug-21 $72.00 C @ 0.64</t>
  </si>
  <si>
    <t>{AABA7DAC-6FD8-4012-AB68-2101B00333DE}</t>
  </si>
  <si>
    <t>Is Long Call</t>
  </si>
  <si>
    <t>DRAM260814P00047000</t>
  </si>
  <si>
    <t>STO 10 Aug-14 $47.00 P @ 0.51</t>
  </si>
  <si>
    <t>{A3D7EB63-CD20-4EE2-A468-F8E7F14BF1C2}</t>
  </si>
  <si>
    <t>{16A19657-89F7-4F46-A6BC-2A59E6BC68DD}</t>
  </si>
  <si>
    <t>UUUU260814C00015500</t>
  </si>
  <si>
    <t>STO 20 Aug-14 $15.50 C @ 0.19</t>
  </si>
  <si>
    <t>{32947DC4-ED9B-4750-8C65-E7AFAC5E910C}</t>
  </si>
  <si>
    <t>BTC 10 Aug-14 $47.00 P @ 0.05</t>
  </si>
  <si>
    <t>FCX260828P00063000</t>
  </si>
  <si>
    <t>STO 6 Aug-28 $63.00 P @ 0.84</t>
  </si>
  <si>
    <t>{1FC23AC9-46D0-49B0-83E5-AB84EFFE59AD}</t>
  </si>
  <si>
    <t>DRAM260821C00065000</t>
  </si>
  <si>
    <t>STO 10 Aug-21 $65.00 C @ 0.72</t>
  </si>
  <si>
    <t>{6879C9E4-CB52-4633-90AE-B07E39A98AD9}</t>
  </si>
  <si>
    <t>DRAM260821P00053500</t>
  </si>
  <si>
    <t>STO 10 Aug-21 $53.50 P @ 0.62</t>
  </si>
  <si>
    <t>{E66CC523-344B-4AFB-BE86-D8C0DE3017CB}</t>
  </si>
  <si>
    <t>BTC 6 Aug-21 $72.00 C @ 4.22</t>
  </si>
  <si>
    <t>FCX260828C00072000</t>
  </si>
  <si>
    <t>STO 6 Aug-28 $72.00 C @ 4.97</t>
  </si>
  <si>
    <t>{09BFBE18-007A-4516-8315-81AC1EBF12BD}</t>
  </si>
  <si>
    <t>AMZN26</t>
  </si>
  <si>
    <t>Assign 1 SC @ $250.00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</si>
</sst>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0.0%"/>
    <numFmt numFmtId="166" formatCode="mm/dd/yy;@"/>
    <numFmt numFmtId="167" formatCode="ddd\ mmm\-dd"/>
    <numFmt numFmtId="168" formatCode="_(* #,##0.0_);_(* \(#,##0.0\);_(* &quot;-&quot;??_);_(@_)"/>
    <numFmt numFmtId="169" formatCode="_(* #,##0_);_(* \(#,##0\);_(* &quot;-&quot;??_);_(@_)"/>
    <numFmt numFmtId="170" formatCode="[$-409]m/d/yy\ h:mm\ AM/PM;@"/>
    <numFmt numFmtId="171" formatCode="[$-F800]dddd\,\ mmmm\ dd\,\ yyyy"/>
    <numFmt numFmtId="172" formatCode="[$-409]h:mm\ AM/PM;@"/>
    <numFmt numFmtId="173" formatCode="_(&quot;$&quot;* #,##0.0_);_(&quot;$&quot;* \(#,##0.0\);_(&quot;$&quot;* &quot;-&quot;?_);_(@_)"/>
    <numFmt numFmtId="174" formatCode="yyyy\ \(mmmm\)"/>
    <numFmt numFmtId="175" formatCode="yyyy\-mm\-dd;@"/>
    <numFmt numFmtId="176" formatCode="[$-409]mmmm\ d\,\ yyyy;@"/>
  </numFmts>
  <fonts count="43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u/>
      <sz val="9"/>
      <color indexed="12"/>
      <name val="Arial"/>
      <family val="2"/>
    </font>
    <font>
      <b/>
      <sz val="10"/>
      <color theme="0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sz val="8"/>
      <color theme="0"/>
      <name val="Arial"/>
      <family val="2"/>
    </font>
    <font>
      <b/>
      <sz val="8"/>
      <color theme="1"/>
      <name val="Arial"/>
      <family val="2"/>
    </font>
    <font>
      <sz val="9"/>
      <color theme="1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i/>
      <sz val="8"/>
      <color indexed="23"/>
      <name val="Arial"/>
      <family val="2"/>
    </font>
    <font>
      <sz val="8"/>
      <color theme="0" tint="-0.499984740745262"/>
      <name val="Arial"/>
      <family val="2"/>
    </font>
    <font>
      <sz val="8"/>
      <color rgb="FF000000"/>
      <name val="Arial"/>
      <family val="2"/>
    </font>
    <font>
      <sz val="8"/>
      <color rgb="FFFF0000"/>
      <name val="Arial"/>
      <family val="2"/>
    </font>
    <font>
      <sz val="10"/>
      <color theme="0" tint="-0.499984740745262"/>
      <name val="Arial"/>
      <family val="2"/>
    </font>
    <font>
      <i/>
      <sz val="8"/>
      <color theme="1"/>
      <name val="Arial"/>
      <family val="2"/>
    </font>
    <font>
      <sz val="10"/>
      <color theme="1" tint="0.34998626667073579"/>
      <name val="Arial"/>
      <family val="2"/>
    </font>
    <font>
      <b/>
      <sz val="10"/>
      <color theme="0" tint="-0.249977111117893"/>
      <name val="Arial"/>
      <family val="2"/>
    </font>
    <font>
      <sz val="10"/>
      <color theme="1" tint="0.499984740745262"/>
      <name val="Arial"/>
      <family val="2"/>
    </font>
    <font>
      <b/>
      <sz val="10"/>
      <color theme="1" tint="0.499984740745262"/>
      <name val="Arial"/>
      <family val="2"/>
    </font>
    <font>
      <sz val="8"/>
      <color theme="1" tint="0.499984740745262"/>
      <name val="Arial"/>
      <family val="2"/>
    </font>
    <font>
      <i/>
      <sz val="8"/>
      <color theme="2" tint="-0.499984740745262"/>
      <name val="Arial"/>
      <family val="2"/>
    </font>
    <font>
      <sz val="8"/>
      <color indexed="23"/>
      <name val="Arial"/>
      <family val="2"/>
    </font>
    <font>
      <sz val="9"/>
      <name val="Arial"/>
      <family val="2"/>
    </font>
    <font>
      <i/>
      <sz val="8"/>
      <color theme="1" tint="0.499984740745262"/>
      <name val="Arial"/>
      <family val="2"/>
    </font>
    <font>
      <i/>
      <sz val="11"/>
      <color rgb="FF7F7F7F"/>
      <name val="Calibri"/>
      <family val="2"/>
      <scheme val="minor"/>
    </font>
    <font>
      <i/>
      <sz val="11"/>
      <color theme="1" tint="0.14999847407452621"/>
      <name val="Calibri"/>
      <family val="2"/>
      <scheme val="minor"/>
    </font>
    <font>
      <sz val="11"/>
      <color rgb="FF7F7F7F"/>
      <name val="Calibri"/>
      <family val="2"/>
      <scheme val="minor"/>
    </font>
    <font>
      <b/>
      <i/>
      <sz val="9"/>
      <color theme="5"/>
      <name val="Arial"/>
      <family val="2"/>
    </font>
    <font>
      <sz val="8"/>
      <color rgb="FF7F7F7F"/>
      <name val="Calibri"/>
      <family val="2"/>
      <scheme val="minor"/>
    </font>
    <font>
      <b/>
      <sz val="8"/>
      <color theme="1" tint="0.499984740745262"/>
      <name val="Arial"/>
      <family val="2"/>
    </font>
    <font>
      <sz val="9.8000000000000007"/>
      <color rgb="FFBCBEC4"/>
      <name val="JetBrains Mono"/>
      <family val="3"/>
    </font>
    <font>
      <b/>
      <sz val="11"/>
      <color rgb="FF3F3F3F"/>
      <name val="Calibri"/>
      <family val="2"/>
      <scheme val="minor"/>
    </font>
    <font>
      <b/>
      <sz val="10"/>
      <color rgb="FF3F3F3F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2F2F2"/>
      </patternFill>
    </fill>
  </fills>
  <borders count="12">
    <border>
      <left/>
      <right/>
      <top/>
      <bottom/>
      <diagonal/>
    </border>
    <border>
      <left style="double">
        <color indexed="64"/>
      </left>
      <right/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double">
        <color indexed="64"/>
      </left>
      <right/>
      <top style="thin">
        <color theme="1"/>
      </top>
      <bottom style="thin">
        <color theme="1"/>
      </bottom>
      <diagonal/>
    </border>
    <border>
      <left style="thick">
        <color theme="4" tint="0.39991454817346722"/>
      </left>
      <right style="thick">
        <color theme="4" tint="0.39991454817346722"/>
      </right>
      <top style="thick">
        <color theme="4" tint="0.39991454817346722"/>
      </top>
      <bottom style="thin">
        <color theme="4" tint="0.39997558519241921"/>
      </bottom>
      <diagonal/>
    </border>
    <border>
      <left style="thick">
        <color theme="4" tint="0.39991454817346722"/>
      </left>
      <right style="thick">
        <color theme="4" tint="0.39991454817346722"/>
      </right>
      <top/>
      <bottom style="thick">
        <color theme="4" tint="0.399914548173467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ck">
        <color theme="4" tint="0.39991454817346722"/>
      </left>
      <right style="thick">
        <color theme="4" tint="0.39991454817346722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24">
    <xf numFmtId="0" fontId="0" fillId="0" borderId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10" fillId="0" borderId="0" applyNumberFormat="0" applyFill="0" applyBorder="0" applyAlignment="0" applyProtection="0">
      <alignment vertical="top"/>
      <protection locked="0"/>
    </xf>
    <xf numFmtId="9" fontId="7" fillId="0" borderId="0" applyFont="0" applyFill="0" applyBorder="0" applyAlignment="0" applyProtection="0"/>
    <xf numFmtId="0" fontId="5" fillId="0" borderId="0"/>
    <xf numFmtId="44" fontId="6" fillId="0" borderId="0" applyFont="0" applyFill="0" applyBorder="0" applyAlignment="0" applyProtection="0"/>
    <xf numFmtId="0" fontId="34" fillId="0" borderId="0" applyNumberForma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1" fillId="5" borderId="11" applyNumberFormat="0" applyAlignment="0" applyProtection="0"/>
  </cellStyleXfs>
  <cellXfs count="206">
    <xf numFmtId="0" fontId="0" fillId="0" borderId="0" xfId="0"/>
    <xf numFmtId="0" fontId="6" fillId="0" borderId="0" xfId="0" applyFont="1"/>
    <xf numFmtId="0" fontId="13" fillId="0" borderId="0" xfId="0" applyFont="1"/>
    <xf numFmtId="0" fontId="14" fillId="0" borderId="0" xfId="0" applyFont="1" applyAlignment="1">
      <alignment horizontal="center" wrapText="1"/>
    </xf>
    <xf numFmtId="0" fontId="15" fillId="0" borderId="0" xfId="0" applyFont="1" applyAlignment="1">
      <alignment horizontal="center"/>
    </xf>
    <xf numFmtId="0" fontId="16" fillId="0" borderId="0" xfId="0" applyFont="1"/>
    <xf numFmtId="0" fontId="11" fillId="4" borderId="5" xfId="0" applyFont="1" applyFill="1" applyBorder="1" applyAlignment="1">
      <alignment wrapText="1"/>
    </xf>
    <xf numFmtId="0" fontId="0" fillId="0" borderId="6" xfId="0" applyBorder="1"/>
    <xf numFmtId="0" fontId="11" fillId="0" borderId="0" xfId="5" applyFont="1"/>
    <xf numFmtId="0" fontId="5" fillId="0" borderId="0" xfId="5"/>
    <xf numFmtId="0" fontId="6" fillId="0" borderId="0" xfId="5" applyFont="1"/>
    <xf numFmtId="0" fontId="9" fillId="0" borderId="0" xfId="0" applyFont="1"/>
    <xf numFmtId="0" fontId="11" fillId="0" borderId="0" xfId="0" applyFont="1"/>
    <xf numFmtId="0" fontId="17" fillId="0" borderId="0" xfId="0" applyFont="1"/>
    <xf numFmtId="166" fontId="17" fillId="0" borderId="0" xfId="1" applyNumberFormat="1" applyFont="1"/>
    <xf numFmtId="44" fontId="17" fillId="0" borderId="0" xfId="2" applyFont="1"/>
    <xf numFmtId="2" fontId="17" fillId="0" borderId="0" xfId="1" applyNumberFormat="1" applyFont="1"/>
    <xf numFmtId="43" fontId="17" fillId="0" borderId="0" xfId="1" applyFont="1"/>
    <xf numFmtId="1" fontId="17" fillId="0" borderId="0" xfId="1" applyNumberFormat="1" applyFont="1"/>
    <xf numFmtId="167" fontId="17" fillId="0" borderId="0" xfId="0" applyNumberFormat="1" applyFont="1"/>
    <xf numFmtId="0" fontId="18" fillId="3" borderId="0" xfId="0" applyFont="1" applyFill="1"/>
    <xf numFmtId="0" fontId="19" fillId="0" borderId="0" xfId="0" applyFont="1" applyAlignment="1">
      <alignment wrapText="1"/>
    </xf>
    <xf numFmtId="0" fontId="17" fillId="0" borderId="0" xfId="0" applyFont="1" applyAlignment="1">
      <alignment wrapText="1"/>
    </xf>
    <xf numFmtId="8" fontId="21" fillId="0" borderId="0" xfId="0" applyNumberFormat="1" applyFont="1" applyAlignment="1">
      <alignment vertical="top" wrapText="1"/>
    </xf>
    <xf numFmtId="14" fontId="17" fillId="0" borderId="0" xfId="0" applyNumberFormat="1" applyFont="1"/>
    <xf numFmtId="44" fontId="6" fillId="0" borderId="0" xfId="2" applyFont="1"/>
    <xf numFmtId="9" fontId="6" fillId="0" borderId="0" xfId="4" applyFont="1"/>
    <xf numFmtId="0" fontId="6" fillId="0" borderId="0" xfId="4" applyNumberFormat="1" applyFont="1" applyAlignment="1" applyProtection="1">
      <alignment wrapText="1"/>
      <protection locked="0"/>
    </xf>
    <xf numFmtId="166" fontId="9" fillId="0" borderId="0" xfId="0" applyNumberFormat="1" applyFont="1"/>
    <xf numFmtId="164" fontId="6" fillId="0" borderId="0" xfId="0" applyNumberFormat="1" applyFont="1" applyProtection="1">
      <protection locked="0"/>
    </xf>
    <xf numFmtId="44" fontId="9" fillId="0" borderId="0" xfId="0" applyNumberFormat="1" applyFont="1"/>
    <xf numFmtId="1" fontId="9" fillId="0" borderId="0" xfId="0" applyNumberFormat="1" applyFont="1"/>
    <xf numFmtId="43" fontId="9" fillId="0" borderId="0" xfId="0" applyNumberFormat="1" applyFont="1"/>
    <xf numFmtId="168" fontId="9" fillId="0" borderId="0" xfId="0" applyNumberFormat="1" applyFont="1"/>
    <xf numFmtId="164" fontId="6" fillId="0" borderId="0" xfId="0" applyNumberFormat="1" applyFont="1"/>
    <xf numFmtId="9" fontId="9" fillId="0" borderId="0" xfId="0" applyNumberFormat="1" applyFont="1"/>
    <xf numFmtId="167" fontId="9" fillId="0" borderId="0" xfId="0" applyNumberFormat="1" applyFont="1"/>
    <xf numFmtId="43" fontId="6" fillId="0" borderId="0" xfId="1" applyFont="1"/>
    <xf numFmtId="49" fontId="12" fillId="0" borderId="0" xfId="0" applyNumberFormat="1" applyFont="1"/>
    <xf numFmtId="0" fontId="9" fillId="0" borderId="0" xfId="1" applyNumberFormat="1" applyFont="1" applyAlignment="1">
      <alignment horizontal="center" wrapText="1"/>
    </xf>
    <xf numFmtId="0" fontId="17" fillId="0" borderId="0" xfId="1" applyNumberFormat="1" applyFont="1"/>
    <xf numFmtId="165" fontId="9" fillId="0" borderId="0" xfId="4" applyNumberFormat="1" applyFont="1" applyAlignment="1">
      <alignment horizontal="center" wrapText="1"/>
    </xf>
    <xf numFmtId="43" fontId="9" fillId="0" borderId="0" xfId="1" applyFont="1" applyAlignment="1">
      <alignment horizontal="center" wrapText="1"/>
    </xf>
    <xf numFmtId="166" fontId="9" fillId="0" borderId="0" xfId="1" applyNumberFormat="1" applyFont="1" applyAlignment="1">
      <alignment horizontal="center" wrapText="1"/>
    </xf>
    <xf numFmtId="165" fontId="9" fillId="0" borderId="0" xfId="4" applyNumberFormat="1" applyFont="1" applyAlignment="1">
      <alignment horizontal="center"/>
    </xf>
    <xf numFmtId="14" fontId="19" fillId="0" borderId="0" xfId="0" applyNumberFormat="1" applyFont="1" applyAlignment="1">
      <alignment wrapText="1"/>
    </xf>
    <xf numFmtId="14" fontId="9" fillId="0" borderId="0" xfId="4" applyNumberFormat="1" applyFont="1" applyAlignment="1">
      <alignment horizontal="center" wrapText="1"/>
    </xf>
    <xf numFmtId="14" fontId="9" fillId="0" borderId="0" xfId="0" applyNumberFormat="1" applyFont="1"/>
    <xf numFmtId="0" fontId="24" fillId="0" borderId="0" xfId="0" applyFont="1" applyAlignment="1">
      <alignment horizontal="right"/>
    </xf>
    <xf numFmtId="171" fontId="24" fillId="0" borderId="0" xfId="0" applyNumberFormat="1" applyFont="1"/>
    <xf numFmtId="172" fontId="24" fillId="0" borderId="0" xfId="0" applyNumberFormat="1" applyFont="1"/>
    <xf numFmtId="0" fontId="12" fillId="0" borderId="0" xfId="0" applyFont="1"/>
    <xf numFmtId="42" fontId="9" fillId="0" borderId="0" xfId="0" applyNumberFormat="1" applyFont="1"/>
    <xf numFmtId="0" fontId="8" fillId="0" borderId="0" xfId="0" applyFont="1"/>
    <xf numFmtId="49" fontId="8" fillId="0" borderId="0" xfId="0" applyNumberFormat="1" applyFont="1" applyAlignment="1">
      <alignment wrapText="1"/>
    </xf>
    <xf numFmtId="0" fontId="6" fillId="0" borderId="0" xfId="2" applyNumberFormat="1" applyFont="1" applyAlignment="1" applyProtection="1">
      <alignment horizontal="center"/>
    </xf>
    <xf numFmtId="166" fontId="6" fillId="0" borderId="1" xfId="1" applyNumberFormat="1" applyFont="1" applyFill="1" applyBorder="1" applyAlignment="1" applyProtection="1">
      <protection locked="0"/>
    </xf>
    <xf numFmtId="44" fontId="6" fillId="0" borderId="0" xfId="2" applyFont="1" applyAlignment="1"/>
    <xf numFmtId="44" fontId="6" fillId="0" borderId="0" xfId="2" applyFont="1" applyAlignment="1" applyProtection="1">
      <protection locked="0"/>
    </xf>
    <xf numFmtId="43" fontId="6" fillId="0" borderId="0" xfId="1" applyFont="1" applyAlignment="1"/>
    <xf numFmtId="39" fontId="23" fillId="0" borderId="0" xfId="1" applyNumberFormat="1" applyFont="1" applyFill="1" applyAlignment="1"/>
    <xf numFmtId="168" fontId="20" fillId="0" borderId="0" xfId="1" applyNumberFormat="1" applyFont="1" applyFill="1" applyAlignment="1" applyProtection="1">
      <protection locked="0"/>
    </xf>
    <xf numFmtId="164" fontId="6" fillId="0" borderId="0" xfId="2" applyNumberFormat="1" applyFont="1" applyAlignment="1"/>
    <xf numFmtId="9" fontId="6" fillId="0" borderId="0" xfId="4" applyFont="1" applyAlignment="1"/>
    <xf numFmtId="170" fontId="6" fillId="0" borderId="0" xfId="2" applyNumberFormat="1" applyFont="1" applyAlignment="1" applyProtection="1">
      <protection locked="0"/>
    </xf>
    <xf numFmtId="1" fontId="6" fillId="0" borderId="0" xfId="2" applyNumberFormat="1" applyFont="1" applyAlignment="1" applyProtection="1">
      <protection locked="0"/>
    </xf>
    <xf numFmtId="9" fontId="6" fillId="0" borderId="0" xfId="4" applyFont="1" applyAlignment="1" applyProtection="1">
      <protection locked="0"/>
    </xf>
    <xf numFmtId="37" fontId="6" fillId="0" borderId="0" xfId="2" applyNumberFormat="1" applyFont="1" applyAlignment="1" applyProtection="1">
      <protection locked="0"/>
    </xf>
    <xf numFmtId="167" fontId="6" fillId="0" borderId="0" xfId="4" applyNumberFormat="1" applyFont="1" applyAlignment="1" applyProtection="1">
      <protection locked="0"/>
    </xf>
    <xf numFmtId="0" fontId="6" fillId="0" borderId="0" xfId="0" applyFont="1" applyProtection="1">
      <protection locked="0"/>
    </xf>
    <xf numFmtId="3" fontId="6" fillId="0" borderId="0" xfId="0" applyNumberFormat="1" applyFont="1" applyAlignment="1" applyProtection="1">
      <alignment horizontal="center"/>
      <protection locked="0"/>
    </xf>
    <xf numFmtId="1" fontId="6" fillId="0" borderId="0" xfId="1" applyNumberFormat="1" applyFont="1" applyAlignment="1"/>
    <xf numFmtId="43" fontId="0" fillId="0" borderId="0" xfId="1" applyFont="1" applyAlignment="1"/>
    <xf numFmtId="167" fontId="0" fillId="0" borderId="0" xfId="4" applyNumberFormat="1" applyFont="1" applyAlignment="1" applyProtection="1">
      <protection locked="0"/>
    </xf>
    <xf numFmtId="1" fontId="6" fillId="0" borderId="0" xfId="1" applyNumberFormat="1" applyFont="1"/>
    <xf numFmtId="39" fontId="23" fillId="0" borderId="0" xfId="1" applyNumberFormat="1" applyFont="1" applyAlignment="1">
      <alignment horizontal="center"/>
    </xf>
    <xf numFmtId="44" fontId="9" fillId="0" borderId="0" xfId="2" applyFont="1" applyAlignment="1">
      <alignment horizontal="center" wrapText="1"/>
    </xf>
    <xf numFmtId="166" fontId="25" fillId="0" borderId="1" xfId="1" applyNumberFormat="1" applyFont="1" applyFill="1" applyBorder="1" applyAlignment="1" applyProtection="1"/>
    <xf numFmtId="44" fontId="6" fillId="0" borderId="0" xfId="2" applyFont="1" applyBorder="1" applyAlignment="1"/>
    <xf numFmtId="0" fontId="26" fillId="0" borderId="0" xfId="1" applyNumberFormat="1" applyFont="1" applyAlignment="1">
      <alignment horizontal="center" wrapText="1"/>
    </xf>
    <xf numFmtId="0" fontId="6" fillId="0" borderId="0" xfId="1" applyNumberFormat="1" applyFont="1" applyFill="1" applyBorder="1" applyAlignment="1"/>
    <xf numFmtId="169" fontId="27" fillId="0" borderId="0" xfId="1" applyNumberFormat="1" applyFont="1"/>
    <xf numFmtId="9" fontId="6" fillId="0" borderId="0" xfId="3" applyNumberFormat="1" applyFont="1" applyAlignment="1" applyProtection="1">
      <alignment horizontal="center"/>
      <protection locked="0"/>
    </xf>
    <xf numFmtId="9" fontId="0" fillId="0" borderId="0" xfId="3" applyNumberFormat="1" applyFont="1" applyAlignment="1" applyProtection="1">
      <alignment horizontal="center"/>
      <protection locked="0"/>
    </xf>
    <xf numFmtId="168" fontId="20" fillId="0" borderId="0" xfId="1" applyNumberFormat="1" applyFont="1" applyFill="1" applyAlignment="1" applyProtection="1"/>
    <xf numFmtId="168" fontId="20" fillId="0" borderId="0" xfId="1" applyNumberFormat="1" applyFont="1" applyFill="1" applyAlignment="1" applyProtection="1">
      <alignment horizontal="center"/>
    </xf>
    <xf numFmtId="44" fontId="28" fillId="0" borderId="0" xfId="2" applyFont="1" applyBorder="1"/>
    <xf numFmtId="43" fontId="30" fillId="0" borderId="0" xfId="1" applyFont="1"/>
    <xf numFmtId="1" fontId="6" fillId="0" borderId="0" xfId="2" applyNumberFormat="1" applyFont="1" applyFill="1" applyAlignment="1" applyProtection="1">
      <protection locked="0"/>
    </xf>
    <xf numFmtId="173" fontId="6" fillId="0" borderId="0" xfId="4" applyNumberFormat="1" applyFont="1" applyAlignment="1">
      <alignment horizontal="center" wrapText="1"/>
    </xf>
    <xf numFmtId="49" fontId="9" fillId="0" borderId="0" xfId="4" applyNumberFormat="1" applyFont="1" applyAlignment="1">
      <alignment horizontal="center" wrapText="1"/>
    </xf>
    <xf numFmtId="49" fontId="6" fillId="0" borderId="0" xfId="4" applyNumberFormat="1" applyFont="1" applyAlignment="1"/>
    <xf numFmtId="167" fontId="9" fillId="0" borderId="0" xfId="4" applyNumberFormat="1" applyFont="1" applyAlignment="1">
      <alignment horizontal="center" wrapText="1"/>
    </xf>
    <xf numFmtId="0" fontId="31" fillId="0" borderId="0" xfId="0" applyFont="1" applyAlignment="1">
      <alignment wrapText="1"/>
    </xf>
    <xf numFmtId="165" fontId="6" fillId="0" borderId="0" xfId="4" applyNumberFormat="1" applyFont="1" applyAlignment="1">
      <alignment horizontal="center" wrapText="1"/>
    </xf>
    <xf numFmtId="44" fontId="6" fillId="0" borderId="0" xfId="0" applyNumberFormat="1" applyFont="1"/>
    <xf numFmtId="2" fontId="9" fillId="0" borderId="0" xfId="0" applyNumberFormat="1" applyFont="1"/>
    <xf numFmtId="44" fontId="27" fillId="0" borderId="0" xfId="2" applyFont="1"/>
    <xf numFmtId="43" fontId="32" fillId="0" borderId="0" xfId="1" applyFont="1"/>
    <xf numFmtId="0" fontId="11" fillId="4" borderId="9" xfId="0" applyFont="1" applyFill="1" applyBorder="1" applyAlignment="1">
      <alignment wrapText="1"/>
    </xf>
    <xf numFmtId="170" fontId="6" fillId="0" borderId="0" xfId="2" applyNumberFormat="1" applyFont="1" applyBorder="1" applyAlignment="1" applyProtection="1">
      <protection locked="0"/>
    </xf>
    <xf numFmtId="44" fontId="33" fillId="0" borderId="0" xfId="2" applyFont="1" applyAlignment="1" applyProtection="1">
      <alignment horizontal="center"/>
      <protection locked="0"/>
    </xf>
    <xf numFmtId="0" fontId="10" fillId="0" borderId="0" xfId="3" applyAlignment="1" applyProtection="1"/>
    <xf numFmtId="0" fontId="6" fillId="0" borderId="0" xfId="1" applyNumberFormat="1" applyFont="1"/>
    <xf numFmtId="166" fontId="6" fillId="0" borderId="0" xfId="1" applyNumberFormat="1" applyFont="1"/>
    <xf numFmtId="2" fontId="6" fillId="0" borderId="0" xfId="1" applyNumberFormat="1" applyFont="1"/>
    <xf numFmtId="14" fontId="6" fillId="0" borderId="0" xfId="0" applyNumberFormat="1" applyFont="1"/>
    <xf numFmtId="167" fontId="6" fillId="0" borderId="0" xfId="0" applyNumberFormat="1" applyFont="1"/>
    <xf numFmtId="0" fontId="10" fillId="3" borderId="0" xfId="3" applyFill="1" applyAlignment="1" applyProtection="1"/>
    <xf numFmtId="166" fontId="6" fillId="3" borderId="0" xfId="1" applyNumberFormat="1" applyFont="1" applyFill="1"/>
    <xf numFmtId="44" fontId="9" fillId="0" borderId="0" xfId="2" applyFont="1" applyAlignment="1">
      <alignment horizontal="center"/>
    </xf>
    <xf numFmtId="14" fontId="6" fillId="0" borderId="0" xfId="2" applyNumberFormat="1" applyFont="1"/>
    <xf numFmtId="14" fontId="9" fillId="0" borderId="0" xfId="1" applyNumberFormat="1" applyFont="1" applyAlignment="1">
      <alignment horizontal="center"/>
    </xf>
    <xf numFmtId="14" fontId="6" fillId="0" borderId="0" xfId="1" applyNumberFormat="1" applyFont="1"/>
    <xf numFmtId="43" fontId="11" fillId="2" borderId="2" xfId="1" applyFont="1" applyFill="1" applyBorder="1" applyAlignment="1">
      <alignment horizontal="center" wrapText="1"/>
    </xf>
    <xf numFmtId="0" fontId="11" fillId="2" borderId="2" xfId="1" applyNumberFormat="1" applyFont="1" applyFill="1" applyBorder="1" applyAlignment="1">
      <alignment horizontal="center" wrapText="1"/>
    </xf>
    <xf numFmtId="2" fontId="11" fillId="2" borderId="2" xfId="1" applyNumberFormat="1" applyFont="1" applyFill="1" applyBorder="1" applyAlignment="1">
      <alignment horizontal="center" wrapText="1"/>
    </xf>
    <xf numFmtId="43" fontId="11" fillId="2" borderId="0" xfId="1" applyFont="1" applyFill="1" applyAlignment="1">
      <alignment horizontal="center" wrapText="1"/>
    </xf>
    <xf numFmtId="14" fontId="11" fillId="2" borderId="0" xfId="1" applyNumberFormat="1" applyFont="1" applyFill="1" applyAlignment="1">
      <alignment horizontal="center" wrapText="1"/>
    </xf>
    <xf numFmtId="0" fontId="5" fillId="0" borderId="2" xfId="0" applyFont="1" applyBorder="1"/>
    <xf numFmtId="0" fontId="5" fillId="0" borderId="3" xfId="0" applyFont="1" applyBorder="1"/>
    <xf numFmtId="0" fontId="5" fillId="0" borderId="3" xfId="1" applyNumberFormat="1" applyFont="1" applyBorder="1"/>
    <xf numFmtId="166" fontId="5" fillId="0" borderId="4" xfId="1" applyNumberFormat="1" applyFont="1" applyBorder="1"/>
    <xf numFmtId="164" fontId="5" fillId="0" borderId="3" xfId="2" applyNumberFormat="1" applyFont="1" applyBorder="1"/>
    <xf numFmtId="44" fontId="5" fillId="0" borderId="3" xfId="2" applyFont="1" applyBorder="1"/>
    <xf numFmtId="1" fontId="5" fillId="0" borderId="3" xfId="1" applyNumberFormat="1" applyFont="1" applyBorder="1"/>
    <xf numFmtId="43" fontId="5" fillId="0" borderId="3" xfId="1" applyFont="1" applyBorder="1"/>
    <xf numFmtId="2" fontId="5" fillId="0" borderId="3" xfId="1" applyNumberFormat="1" applyFont="1" applyBorder="1"/>
    <xf numFmtId="168" fontId="5" fillId="0" borderId="3" xfId="1" applyNumberFormat="1" applyFont="1" applyBorder="1"/>
    <xf numFmtId="9" fontId="5" fillId="0" borderId="3" xfId="4" applyFont="1" applyBorder="1"/>
    <xf numFmtId="9" fontId="5" fillId="0" borderId="0" xfId="4" applyFont="1"/>
    <xf numFmtId="14" fontId="5" fillId="0" borderId="0" xfId="4" applyNumberFormat="1" applyFont="1"/>
    <xf numFmtId="0" fontId="6" fillId="0" borderId="0" xfId="0" applyFont="1" applyAlignment="1">
      <alignment wrapText="1"/>
    </xf>
    <xf numFmtId="2" fontId="6" fillId="0" borderId="0" xfId="0" applyNumberFormat="1" applyFont="1" applyAlignment="1">
      <alignment wrapText="1"/>
    </xf>
    <xf numFmtId="14" fontId="6" fillId="0" borderId="0" xfId="0" applyNumberFormat="1" applyFont="1" applyAlignment="1">
      <alignment wrapText="1"/>
    </xf>
    <xf numFmtId="1" fontId="9" fillId="0" borderId="0" xfId="1" applyNumberFormat="1" applyFont="1" applyAlignment="1">
      <alignment horizontal="center" wrapText="1"/>
    </xf>
    <xf numFmtId="10" fontId="6" fillId="0" borderId="0" xfId="4" applyNumberFormat="1" applyFont="1"/>
    <xf numFmtId="4" fontId="6" fillId="0" borderId="0" xfId="0" applyNumberFormat="1" applyFont="1"/>
    <xf numFmtId="8" fontId="6" fillId="0" borderId="0" xfId="0" applyNumberFormat="1" applyFont="1"/>
    <xf numFmtId="43" fontId="6" fillId="0" borderId="0" xfId="0" applyNumberFormat="1" applyFont="1"/>
    <xf numFmtId="2" fontId="6" fillId="0" borderId="0" xfId="0" applyNumberFormat="1" applyFont="1"/>
    <xf numFmtId="0" fontId="12" fillId="0" borderId="0" xfId="0" applyFont="1" applyAlignment="1">
      <alignment horizontal="center" wrapText="1"/>
    </xf>
    <xf numFmtId="44" fontId="29" fillId="0" borderId="10" xfId="6" applyFont="1" applyBorder="1"/>
    <xf numFmtId="44" fontId="34" fillId="0" borderId="0" xfId="7" applyNumberFormat="1" applyAlignment="1">
      <alignment horizontal="center"/>
    </xf>
    <xf numFmtId="0" fontId="34" fillId="0" borderId="0" xfId="7"/>
    <xf numFmtId="44" fontId="34" fillId="0" borderId="0" xfId="7" applyNumberFormat="1" applyBorder="1"/>
    <xf numFmtId="2" fontId="34" fillId="0" borderId="0" xfId="7" applyNumberFormat="1"/>
    <xf numFmtId="42" fontId="9" fillId="0" borderId="0" xfId="0" applyNumberFormat="1" applyFont="1" applyAlignment="1">
      <alignment horizontal="center"/>
    </xf>
    <xf numFmtId="164" fontId="34" fillId="0" borderId="0" xfId="7" applyNumberFormat="1"/>
    <xf numFmtId="44" fontId="34" fillId="0" borderId="0" xfId="7" applyNumberFormat="1" applyBorder="1" applyAlignment="1">
      <alignment horizontal="right"/>
    </xf>
    <xf numFmtId="164" fontId="34" fillId="0" borderId="10" xfId="7" applyNumberFormat="1" applyBorder="1"/>
    <xf numFmtId="164" fontId="34" fillId="0" borderId="8" xfId="7" applyNumberFormat="1" applyBorder="1"/>
    <xf numFmtId="10" fontId="34" fillId="0" borderId="0" xfId="4" applyNumberFormat="1" applyFont="1"/>
    <xf numFmtId="9" fontId="34" fillId="0" borderId="0" xfId="4" applyFont="1"/>
    <xf numFmtId="175" fontId="6" fillId="0" borderId="0" xfId="1" applyNumberFormat="1" applyFont="1"/>
    <xf numFmtId="175" fontId="11" fillId="2" borderId="2" xfId="1" applyNumberFormat="1" applyFont="1" applyFill="1" applyBorder="1" applyAlignment="1">
      <alignment horizontal="center" wrapText="1"/>
    </xf>
    <xf numFmtId="175" fontId="5" fillId="0" borderId="3" xfId="1" applyNumberFormat="1" applyFont="1" applyBorder="1"/>
    <xf numFmtId="175" fontId="6" fillId="0" borderId="0" xfId="0" applyNumberFormat="1" applyFont="1" applyAlignment="1">
      <alignment wrapText="1"/>
    </xf>
    <xf numFmtId="175" fontId="23" fillId="0" borderId="0" xfId="1" applyNumberFormat="1" applyFont="1" applyFill="1" applyAlignment="1"/>
    <xf numFmtId="175" fontId="9" fillId="0" borderId="0" xfId="0" applyNumberFormat="1" applyFont="1"/>
    <xf numFmtId="175" fontId="17" fillId="0" borderId="0" xfId="1" applyNumberFormat="1" applyFont="1"/>
    <xf numFmtId="175" fontId="6" fillId="0" borderId="0" xfId="0" applyNumberFormat="1" applyFont="1"/>
    <xf numFmtId="44" fontId="35" fillId="0" borderId="7" xfId="7" applyNumberFormat="1" applyFont="1" applyBorder="1"/>
    <xf numFmtId="175" fontId="36" fillId="0" borderId="0" xfId="7" applyNumberFormat="1" applyFont="1"/>
    <xf numFmtId="0" fontId="34" fillId="0" borderId="0" xfId="7" applyAlignment="1">
      <alignment horizontal="center"/>
    </xf>
    <xf numFmtId="2" fontId="34" fillId="0" borderId="0" xfId="7" applyNumberFormat="1" applyAlignment="1">
      <alignment horizontal="right"/>
    </xf>
    <xf numFmtId="175" fontId="8" fillId="0" borderId="0" xfId="1" applyNumberFormat="1" applyFont="1" applyFill="1" applyBorder="1" applyAlignment="1"/>
    <xf numFmtId="1" fontId="34" fillId="0" borderId="0" xfId="7" applyNumberFormat="1" applyAlignment="1">
      <alignment horizontal="right"/>
    </xf>
    <xf numFmtId="1" fontId="34" fillId="0" borderId="0" xfId="7" applyNumberFormat="1"/>
    <xf numFmtId="168" fontId="6" fillId="0" borderId="0" xfId="1" applyNumberFormat="1" applyFont="1" applyFill="1" applyBorder="1" applyAlignment="1"/>
    <xf numFmtId="165" fontId="9" fillId="0" borderId="0" xfId="0" applyNumberFormat="1" applyFont="1" applyAlignment="1">
      <alignment horizontal="right"/>
    </xf>
    <xf numFmtId="43" fontId="6" fillId="0" borderId="0" xfId="1" applyFont="1" applyAlignment="1">
      <alignment horizontal="right"/>
    </xf>
    <xf numFmtId="43" fontId="17" fillId="0" borderId="0" xfId="1" applyFont="1" applyAlignment="1">
      <alignment horizontal="right"/>
    </xf>
    <xf numFmtId="44" fontId="20" fillId="0" borderId="0" xfId="2" applyFont="1" applyFill="1" applyAlignment="1" applyProtection="1"/>
    <xf numFmtId="44" fontId="12" fillId="0" borderId="0" xfId="1" applyNumberFormat="1" applyFont="1" applyFill="1" applyAlignment="1" applyProtection="1"/>
    <xf numFmtId="164" fontId="34" fillId="0" borderId="0" xfId="7" applyNumberFormat="1" applyBorder="1"/>
    <xf numFmtId="44" fontId="37" fillId="0" borderId="0" xfId="2" applyFont="1" applyAlignment="1" applyProtection="1">
      <protection locked="0"/>
    </xf>
    <xf numFmtId="174" fontId="37" fillId="0" borderId="0" xfId="2" applyNumberFormat="1" applyFont="1" applyAlignment="1" applyProtection="1">
      <protection locked="0"/>
    </xf>
    <xf numFmtId="2" fontId="6" fillId="0" borderId="0" xfId="2" applyNumberFormat="1" applyFont="1" applyBorder="1" applyAlignment="1"/>
    <xf numFmtId="168" fontId="6" fillId="0" borderId="0" xfId="2" applyNumberFormat="1" applyFont="1" applyBorder="1" applyAlignment="1"/>
    <xf numFmtId="0" fontId="20" fillId="0" borderId="0" xfId="2" applyNumberFormat="1" applyFont="1" applyFill="1" applyAlignment="1" applyProtection="1"/>
    <xf numFmtId="9" fontId="38" fillId="0" borderId="0" xfId="7" applyNumberFormat="1" applyFont="1" applyAlignment="1" applyProtection="1">
      <protection locked="0"/>
    </xf>
    <xf numFmtId="164" fontId="6" fillId="0" borderId="0" xfId="1" applyNumberFormat="1" applyFont="1" applyFill="1" applyBorder="1" applyAlignment="1"/>
    <xf numFmtId="164" fontId="9" fillId="0" borderId="0" xfId="0" applyNumberFormat="1" applyFont="1"/>
    <xf numFmtId="169" fontId="20" fillId="0" borderId="0" xfId="1" applyNumberFormat="1" applyFont="1" applyFill="1" applyAlignment="1" applyProtection="1"/>
    <xf numFmtId="44" fontId="39" fillId="0" borderId="10" xfId="6" applyFont="1" applyBorder="1"/>
    <xf numFmtId="165" fontId="34" fillId="0" borderId="0" xfId="4" applyNumberFormat="1" applyFont="1"/>
    <xf numFmtId="1" fontId="34" fillId="0" borderId="0" xfId="7" applyNumberFormat="1" applyBorder="1" applyAlignment="1"/>
    <xf numFmtId="44" fontId="0" fillId="0" borderId="0" xfId="0" applyNumberFormat="1"/>
    <xf numFmtId="0" fontId="22" fillId="0" borderId="0" xfId="0" applyFont="1" applyProtection="1">
      <protection locked="0"/>
    </xf>
    <xf numFmtId="44" fontId="11" fillId="2" borderId="2" xfId="2" applyFont="1" applyFill="1" applyBorder="1" applyAlignment="1">
      <alignment horizontal="center" wrapText="1"/>
    </xf>
    <xf numFmtId="44" fontId="6" fillId="0" borderId="0" xfId="2" applyFont="1" applyAlignment="1">
      <alignment wrapText="1"/>
    </xf>
    <xf numFmtId="44" fontId="26" fillId="0" borderId="0" xfId="2" applyFont="1" applyAlignment="1">
      <alignment horizontal="center" wrapText="1"/>
    </xf>
    <xf numFmtId="44" fontId="6" fillId="0" borderId="0" xfId="2" applyFont="1" applyFill="1" applyBorder="1" applyAlignment="1"/>
    <xf numFmtId="44" fontId="9" fillId="0" borderId="0" xfId="2" applyFont="1"/>
    <xf numFmtId="168" fontId="6" fillId="0" borderId="0" xfId="2" applyNumberFormat="1" applyFont="1" applyAlignment="1"/>
    <xf numFmtId="0" fontId="40" fillId="0" borderId="0" xfId="0" applyFont="1" applyAlignment="1">
      <alignment vertical="center"/>
    </xf>
    <xf numFmtId="176" fontId="42" fillId="5" borderId="11" xfId="23" applyNumberFormat="1" applyFont="1" applyAlignment="1">
      <alignment horizontal="center" wrapText="1"/>
    </xf>
    <xf numFmtId="0" fontId="17" fillId="0" borderId="0" xfId="0" applyFont="1" applyProtection="1">
      <protection locked="0"/>
    </xf>
    <xf numFmtId="1" fontId="17" fillId="0" borderId="0" xfId="2" applyNumberFormat="1" applyFont="1" applyFill="1" applyAlignment="1" applyProtection="1">
      <protection locked="0"/>
    </xf>
    <xf numFmtId="2" fontId="6" fillId="0" borderId="0" xfId="2" applyNumberFormat="1" applyFont="1" applyAlignment="1"/>
    <xf numFmtId="0" fontId="6" fillId="0" borderId="0" xfId="1" applyNumberFormat="1" applyFont="1" applyFill="1" applyAlignment="1"/>
    <xf numFmtId="168" fontId="6" fillId="0" borderId="0" xfId="1" applyNumberFormat="1" applyFont="1" applyFill="1" applyAlignment="1"/>
    <xf numFmtId="175" fontId="8" fillId="0" borderId="0" xfId="1" applyNumberFormat="1" applyFont="1" applyFill="1" applyAlignment="1"/>
    <xf numFmtId="44" fontId="6" fillId="0" borderId="0" xfId="2" applyFont="1" applyFill="1" applyAlignment="1"/>
    <xf numFmtId="164" fontId="6" fillId="0" borderId="0" xfId="1" applyNumberFormat="1" applyFont="1" applyFill="1" applyAlignment="1"/>
  </cellXfs>
  <cellStyles count="24">
    <cellStyle name="Comma" xfId="1" builtinId="3"/>
    <cellStyle name="Comma 2" xfId="9" xr:uid="{C6697DB4-0607-441D-81FB-82DB8547BAF4}"/>
    <cellStyle name="Currency" xfId="2" builtinId="4"/>
    <cellStyle name="Currency 2" xfId="6" xr:uid="{84B12F92-36B5-4A63-BCBF-5A3C270C6987}"/>
    <cellStyle name="Currency 3" xfId="12" xr:uid="{C97E031C-CD38-457D-BD6D-08CAD0FABFAC}"/>
    <cellStyle name="Currency 4" xfId="15" xr:uid="{799D9E13-7B6F-4A48-8696-B0DF0BE3220B}"/>
    <cellStyle name="Currency 5" xfId="18" xr:uid="{D1A6586D-F013-4949-91CC-736941C4A104}"/>
    <cellStyle name="Currency 6" xfId="21" xr:uid="{56ED8881-208F-4BF9-BF45-14B68CF3D4D5}"/>
    <cellStyle name="Explanatory Text" xfId="7" builtinId="53"/>
    <cellStyle name="Hyperlink" xfId="3" builtinId="8"/>
    <cellStyle name="Normal" xfId="0" builtinId="0"/>
    <cellStyle name="Normal 2" xfId="5" xr:uid="{00000000-0005-0000-0000-000004000000}"/>
    <cellStyle name="Normal 3" xfId="8" xr:uid="{DF72BC34-F51F-49E1-AD13-B67D8EAC7874}"/>
    <cellStyle name="Normal 4" xfId="11" xr:uid="{E5280683-651B-4F5A-B332-9F90B71A2F90}"/>
    <cellStyle name="Normal 5" xfId="14" xr:uid="{604337E1-411F-4108-BA12-827BD039BFE6}"/>
    <cellStyle name="Normal 6" xfId="17" xr:uid="{87AFAE47-C7E0-4245-94B1-C8FD9D75AB6F}"/>
    <cellStyle name="Normal 7" xfId="20" xr:uid="{D93AC72E-2F72-4683-AD53-DF5E38DA341E}"/>
    <cellStyle name="Output" xfId="23" builtinId="21"/>
    <cellStyle name="Percent" xfId="4" builtinId="5"/>
    <cellStyle name="Percent 2" xfId="10" xr:uid="{0D22A2A9-926A-486D-8AD2-9D701013E4B5}"/>
    <cellStyle name="Percent 3" xfId="13" xr:uid="{597B40BD-4DC3-4D33-90AA-A64DAC7B6554}"/>
    <cellStyle name="Percent 4" xfId="16" xr:uid="{8929B4F1-C72A-43ED-A0F3-71FA65DF7C0A}"/>
    <cellStyle name="Percent 5" xfId="19" xr:uid="{677281D9-E8A2-47EF-8234-4FC82A3FB620}"/>
    <cellStyle name="Percent 6" xfId="22" xr:uid="{9BA56AA7-E510-4BBC-AA2D-A453E400A7C6}"/>
  </cellStyles>
  <dxfs count="245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7" formatCode="ddd\ mmm\-dd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4" formatCode="_(&quot;$&quot;* #,##0.00_);_(&quot;$&quot;* \(#,##0.00\);_(&quot;$&quot;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4" formatCode="_(&quot;$&quot;* #,##0.00_);_(&quot;$&quot;* \(#,##0.00\);_(&quot;$&quot;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4" formatCode="_(&quot;$&quot;* #,##0.00_);_(&quot;$&quot;* \(#,##0.00\);_(&quot;$&quot;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4" formatCode="_(&quot;$&quot;* #,##0.00_);_(&quot;$&quot;* \(#,##0.00\);_(&quot;$&quot;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4" formatCode="_(&quot;$&quot;* #,##0.00_);_(&quot;$&quot;* \(#,##0.00\);_(&quot;$&quot;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4" formatCode="_(&quot;$&quot;* #,##0.00_);_(&quot;$&quot;* \(#,##0.00\);_(&quot;$&quot;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4" formatCode="_(&quot;$&quot;* #,##0.00_);_(&quot;$&quot;* \(#,##0.00\);_(&quot;$&quot;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mm/d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4" formatCode="_(&quot;$&quot;* #,##0.00_);_(&quot;$&quot;* \(#,##0.00\);_(&quot;$&quot;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mm/d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_(&quot;$&quot;* #,##0_);_(&quot;$&quot;* \(#,##0\);_(&quot;$&quot;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5" formatCode="_(* #,##0.00_);_(* \(#,##0.0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5" formatCode="_(* #,##0.00_);_(* \(#,##0.0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8" formatCode="_(* #,##0.0_);_(* \(#,##0.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8" formatCode="_(* #,##0.0_);_(* \(#,##0.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8" formatCode="_(* #,##0.0_);_(* \(#,##0.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8" formatCode="_(* #,##0.0_);_(* \(#,##0.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8" formatCode="_(* #,##0.0_);_(* \(#,##0.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4" formatCode="_(&quot;$&quot;* #,##0.00_);_(&quot;$&quot;* \(#,##0.00\);_(&quot;$&quot;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8" formatCode="_(* #,##0.0_);_(* \(#,##0.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8" formatCode="_(* #,##0.0_);_(* \(#,##0.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8" formatCode="_(* #,##0.0_);_(* \(#,##0.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8" formatCode="_(* #,##0.0_);_(* \(#,##0.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8" formatCode="_(* #,##0.0_);_(* \(#,##0.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8" formatCode="_(* #,##0.0_);_(* \(#,##0.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_(&quot;$&quot;* #,##0_);_(&quot;$&quot;* \(#,##0\);_(&quot;$&quot;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4" formatCode="_(&quot;$&quot;* #,##0.00_);_(&quot;$&quot;* \(#,##0.00\);_(&quot;$&quot;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75" formatCode="yyyy\-mm\-dd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75" formatCode="yyyy\-mm\-dd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75" formatCode="yyyy\-mm\-dd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8" formatCode="_(* #,##0.0_);_(* \(#,##0.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8" formatCode="_(* #,##0.0_);_(* \(#,##0.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8" formatCode="_(* #,##0.0_);_(* \(#,##0.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8" formatCode="_(* #,##0.0_);_(* \(#,##0.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8" formatCode="_(* #,##0.0_);_(* \(#,##0.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8" formatCode="_(* #,##0.0_);_(* \(#,##0.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8" formatCode="_(* #,##0.0_);_(* \(#,##0.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8" formatCode="_(* #,##0.0_);_(* \(#,##0.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8" formatCode="_(* #,##0.0_);_(* \(#,##0.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8" formatCode="_(* #,##0.0_);_(* \(#,##0.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8" formatCode="_(* #,##0.0_);_(* \(#,##0.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8" formatCode="_(* #,##0.0_);_(* \(#,##0.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8" formatCode="_(* #,##0.0_);_(* \(#,##0.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8" formatCode="_(* #,##0.0_);_(* \(#,##0.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8" formatCode="_(* #,##0.0_);_(* \(#,##0.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75" formatCode="yyyy\-mm\-dd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8" formatCode="_(* #,##0.0_);_(* \(#,##0.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5" formatCode="_(* #,##0.00_);_(* \(#,##0.0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2" formatCode="_(&quot;$&quot;* #,##0_);_(&quot;$&quot;* \(#,##0\);_(&quot;$&quot;* &quot;-&quot;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2" formatCode="_(&quot;$&quot;* #,##0_);_(&quot;$&quot;* \(#,##0\);_(&quot;$&quot;* &quot;-&quot;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_(&quot;$&quot;* #,##0_);_(&quot;$&quot;* \(#,##0\);_(&quot;$&quot;* &quot;-&quot;??_);_(@_)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_(&quot;$&quot;* #,##0_);_(&quot;$&quot;* \(#,##0\);_(&quot;$&quot;* &quot;-&quot;??_);_(@_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b val="0"/>
        <i/>
        <color theme="3" tint="-0.24994659260841701"/>
      </font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/>
        <color theme="3" tint="-0.24994659260841701"/>
      </font>
      <fill>
        <patternFill>
          <bgColor theme="4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8"/>
        <color auto="1"/>
        <name val="Arial"/>
        <scheme val="none"/>
      </font>
      <numFmt numFmtId="30" formatCode="@"/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7F7F7F"/>
        <name val="Calibri"/>
        <family val="2"/>
        <scheme val="minor"/>
      </font>
      <numFmt numFmtId="13" formatCode="0%"/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ddd\ mmm\-dd"/>
      <alignment vertical="bottom" textRotation="0" wrapTex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3" formatCode="0%"/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3" formatCode="0%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5" formatCode="#,##0_);\(#,##0\)"/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70" formatCode="[$-409]m/d/yy\ h:mm\ AM/PM;@"/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name val="Arial"/>
        <family val="2"/>
        <scheme val="none"/>
      </font>
      <alignment horizontal="general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3" formatCode="0%"/>
      <alignment horizontal="general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3" formatCode="0%"/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general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70" formatCode="[$-409]m/d/yy\ h:mm\ AM/PM;@"/>
      <alignment horizontal="general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3" formatCode="0%"/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3" formatCode="0%"/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3" formatCode="0%"/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_(&quot;$&quot;* #,##0_);_(&quot;$&quot;* \(#,##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 tint="-0.499984740745262"/>
        <name val="Arial"/>
        <family val="2"/>
        <scheme val="none"/>
      </font>
      <numFmt numFmtId="169" formatCode="_(* #,##0_);_(* \(#,##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 tint="-0.499984740745262"/>
        <name val="Arial"/>
        <family val="2"/>
        <scheme val="none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 tint="-0.499984740745262"/>
        <name val="Arial"/>
        <family val="2"/>
        <scheme val="none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 tint="-0.499984740745262"/>
        <name val="Arial"/>
        <family val="2"/>
        <scheme val="none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 tint="-0.499984740745262"/>
        <name val="Arial"/>
        <family val="2"/>
        <scheme val="none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 tint="-0.499984740745262"/>
        <name val="Arial"/>
        <family val="2"/>
        <scheme val="none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 tint="-0.499984740745262"/>
        <name val="Arial"/>
        <family val="2"/>
        <scheme val="none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 tint="-0.499984740745262"/>
        <name val="Arial"/>
        <family val="2"/>
        <scheme val="none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 tint="-0.499984740745262"/>
        <name val="Arial"/>
        <family val="2"/>
        <scheme val="none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 tint="-0.499984740745262"/>
        <name val="Arial"/>
        <family val="2"/>
        <scheme val="none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 tint="-0.499984740745262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 tint="-0.499984740745262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_(&quot;$&quot;* #,##0_);_(&quot;$&quot;* \(#,##0\);_(&quot;$&quot;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75" formatCode="yyyy\-mm\-dd;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75" formatCode="yyyy\-mm\-dd;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75" formatCode="yyyy\-mm\-dd;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75" formatCode="yyyy\-mm\-dd;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75" formatCode="yyyy\-mm\-dd;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8" formatCode="_(* #,##0.0_);_(* \(#,##0.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8" formatCode="_(* #,##0.0_);_(* \(#,##0.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8" formatCode="_(* #,##0.0_);_(* \(#,##0.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8" formatCode="_(* #,##0.0_);_(* \(#,##0.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8" formatCode="_(* #,##0.0_);_(* \(#,##0.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8" formatCode="_(* #,##0.0_);_(* \(#,##0.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 tint="-0.499984740745262"/>
        <name val="Arial"/>
        <family val="2"/>
        <scheme val="none"/>
      </font>
      <numFmt numFmtId="168" formatCode="_(* #,##0.0_);_(* \(#,##0.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 tint="-0.499984740745262"/>
        <name val="Arial"/>
        <family val="2"/>
        <scheme val="none"/>
      </font>
      <numFmt numFmtId="168" formatCode="_(* #,##0.0_);_(* \(#,##0.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 tint="-0.499984740745262"/>
        <name val="Arial"/>
        <family val="2"/>
        <scheme val="none"/>
      </font>
      <numFmt numFmtId="168" formatCode="_(* #,##0.0_);_(* \(#,##0.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 tint="-0.499984740745262"/>
        <name val="Arial"/>
        <family val="2"/>
        <scheme val="none"/>
      </font>
      <numFmt numFmtId="168" formatCode="_(* #,##0.0_);_(* \(#,##0.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 tint="-0.499984740745262"/>
        <name val="Arial"/>
        <family val="2"/>
        <scheme val="none"/>
      </font>
      <numFmt numFmtId="168" formatCode="_(* #,##0.0_);_(* \(#,##0.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 tint="-0.499984740745262"/>
        <name val="Arial"/>
        <family val="2"/>
        <scheme val="none"/>
      </font>
      <numFmt numFmtId="168" formatCode="_(* #,##0.0_);_(* \(#,##0.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 tint="-0.499984740745262"/>
        <name val="Arial"/>
        <family val="2"/>
        <scheme val="none"/>
      </font>
      <numFmt numFmtId="168" formatCode="_(* #,##0.0_);_(* \(#,##0.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 tint="-0.499984740745262"/>
        <name val="Arial"/>
        <family val="2"/>
        <scheme val="none"/>
      </font>
      <numFmt numFmtId="168" formatCode="_(* #,##0.0_);_(* \(#,##0.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 tint="-0.499984740745262"/>
        <name val="Arial"/>
        <family val="2"/>
        <scheme val="none"/>
      </font>
      <numFmt numFmtId="168" formatCode="_(* #,##0.0_);_(* \(#,##0.0\);_(* &quot;-&quot;??_);_(@_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Arial"/>
        <family val="2"/>
        <scheme val="none"/>
      </font>
      <numFmt numFmtId="7" formatCode="#,##0.00_);\(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Arial"/>
        <family val="2"/>
        <scheme val="none"/>
      </font>
      <numFmt numFmtId="7" formatCode="#,##0.00_);\(#,##0.00\)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Arial"/>
        <family val="2"/>
        <scheme val="none"/>
      </font>
      <numFmt numFmtId="175" formatCode="yyyy\-mm\-dd;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8" formatCode="_(* #,##0.0_);_(* \(#,##0.0\);_(* &quot;-&quot;??_);_(@_)"/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" formatCode="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general" vertical="bottom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9"/>
        <color theme="5"/>
        <name val="Arial"/>
        <family val="2"/>
        <scheme val="none"/>
      </font>
      <alignment horizontal="general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9"/>
        <color theme="5"/>
        <name val="Arial"/>
        <family val="2"/>
        <scheme val="none"/>
      </font>
      <numFmt numFmtId="174" formatCode="yyyy\ \(mmmm\)"/>
      <alignment horizontal="general" vertical="bottom" textRotation="0" wrapText="0" indent="0" justifyLastLine="0" shrinkToFit="0" readingOrder="0"/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8"/>
        <color theme="1" tint="0.499984740745262"/>
        <name val="Arial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Arial"/>
        <family val="2"/>
        <scheme val="none"/>
      </font>
      <numFmt numFmtId="166" formatCode="mm/dd/yy;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double">
          <color indexed="64"/>
        </left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4" formatCode="_(&quot;$&quot;* #,##0.00_);_(&quot;$&quot;* \(#,##0.00\);_(&quot;$&quot;* &quot;-&quot;??_);_(@_)"/>
      <alignment horizontal="general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6" formatCode="mm/dd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6" formatCode="mm/dd/yy;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double">
          <color indexed="64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4" formatCode="_(&quot;$&quot;* #,##0.00_);_(&quot;$&quot;* \(#,##0.00\);_(&quot;$&quot;* &quot;-&quot;??_);_(@_)"/>
      <alignment horizontal="general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6" formatCode="mm/dd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6" formatCode="mm/dd/yy;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double">
          <color indexed="64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general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</dxf>
    <dxf>
      <numFmt numFmtId="1" formatCode="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FF0000"/>
        <name val="Arial"/>
        <family val="2"/>
        <scheme val="none"/>
      </font>
      <alignment horizontal="general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23/09/relationships/Python" Target="pyth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Dropbox/Green%20Olive/Investing/dev/constants.xlsm" TargetMode="External"/><Relationship Id="rId2" Type="http://schemas.openxmlformats.org/officeDocument/2006/relationships/externalLinkPath" Target="file:///C:\Users\finge\Dropbox\Green%20Olive\Investing\dev\constants.xlsm" TargetMode="External"/><Relationship Id="rId1" Type="http://schemas.openxmlformats.org/officeDocument/2006/relationships/externalLinkPath" Target="/Users/finge/Dropbox/Green%20Olive/Investing/dev/constan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Brokerage Constants"/>
      <sheetName val="IRS"/>
      <sheetName val="Data Transfer Names"/>
      <sheetName val="DataLists"/>
      <sheetName val="Trade Journal"/>
      <sheetName val="Recognia Data"/>
      <sheetName val="Common Filters"/>
      <sheetName val="Yahoo Finance Strings"/>
      <sheetName val="Svc"/>
      <sheetName val="SvcConfig"/>
      <sheetName val="DtoConfig SNAP"/>
      <sheetName val="DtoConfig CAGR"/>
      <sheetName val="Best Sectors"/>
      <sheetName val="UiText"/>
      <sheetName val="TestingConstants"/>
      <sheetName val="WbData"/>
      <sheetName val="Market Holidays"/>
      <sheetName val="Links"/>
    </sheetNames>
    <definedNames>
      <definedName name="Choices_EbfCriteriaOp" refersTo="#REF!"/>
      <definedName name="Choices_MacdCrossing" refersTo="#REF!"/>
      <definedName name="Choices_MacdDirection" refersTo="#REF!"/>
      <definedName name="Choices_PositionDirection"/>
      <definedName name="Choices_PositionTypes"/>
      <definedName name="Choices_ShortTermOutlook" refersTo="#REF!"/>
      <definedName name="Choices_StochasticK_Pct" refersTo="#REF!"/>
      <definedName name="Choices_Trend" refersTo="#REF!"/>
      <definedName name="Choices_Volume" refersTo="#REF!"/>
      <definedName name="Choices_XlAutoFilterOp" refersTo="#REF!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CagrTable" displayName="CagrTable" ref="A7:CV73" totalsRowCount="1">
  <autoFilter ref="A7:CV72" xr:uid="{00000000-000C-0000-FFFF-FFFF00000000}">
    <filterColumn colId="0">
      <filters>
        <filter val="AMZN"/>
      </filters>
    </filterColumn>
    <filterColumn colId="4">
      <filters>
        <filter val="AMZN26"/>
      </filters>
    </filterColumn>
  </autoFilter>
  <sortState xmlns:xlrd2="http://schemas.microsoft.com/office/spreadsheetml/2017/richdata2" caseSensitive="1" ref="A8:CV12">
    <sortCondition ref="A8:A72"/>
    <sortCondition ref="D8:D72"/>
    <sortCondition ref="M8:M72"/>
  </sortState>
  <tableColumns count="100">
    <tableColumn id="1" xr3:uid="{00000000-0010-0000-0000-000001000000}" name="Symbol" dataDxfId="244"/>
    <tableColumn id="39" xr3:uid="{00000000-0010-0000-0000-000027000000}" name="Position" totalsRowFunction="count" dataDxfId="243" totalsRowDxfId="242"/>
    <tableColumn id="2" xr3:uid="{00000000-0010-0000-0000-000002000000}" name="Qty" dataDxfId="241" totalsRowDxfId="240" dataCellStyle="Currency"/>
    <tableColumn id="62" xr3:uid="{00000000-0010-0000-0000-00003E000000}" name="ID" dataDxfId="239" totalsRowDxfId="238"/>
    <tableColumn id="10" xr3:uid="{00000000-0010-0000-0000-00000A000000}" name="Trade ID" dataDxfId="237" totalsRowDxfId="236">
      <calculatedColumnFormula>CONCATENATE(CagrTable[[#This Row],[Symbol]], CagrTable[[#This Row],[ID]])</calculatedColumnFormula>
    </tableColumn>
    <tableColumn id="46" xr3:uid="{00000000-0010-0000-0000-00002E000000}" name="Is Closed" dataDxfId="235" totalsRowDxfId="234" dataCellStyle="Currency"/>
    <tableColumn id="3" xr3:uid="{00000000-0010-0000-0000-000003000000}" name="Acquire Date" dataDxfId="233" totalsRowDxfId="232" dataCellStyle="Comma"/>
    <tableColumn id="4" xr3:uid="{00000000-0010-0000-0000-000004000000}" name="Basis" totalsRowFunction="sum" dataDxfId="231" totalsRowDxfId="55" dataCellStyle="Currency"/>
    <tableColumn id="16" xr3:uid="{00000000-0010-0000-0000-000010000000}" name="Basis Price" dataDxfId="230" totalsRowDxfId="54" dataCellStyle="Currency">
      <calculatedColumnFormula>IF(ISNUMBER(CagrTable[[#This Row],[Qty]]),CagrTable[[#This Row],[Basis]] /CagrTable[[#This Row],[Qty]], "")</calculatedColumnFormula>
    </tableColumn>
    <tableColumn id="5" xr3:uid="{00000000-0010-0000-0000-000005000000}" name="Sell Date" dataDxfId="229" totalsRowDxfId="228" dataCellStyle="Comma"/>
    <tableColumn id="7" xr3:uid="{00000000-0010-0000-0000-000007000000}" name="Proceeds" totalsRowFunction="sum" dataDxfId="227" totalsRowDxfId="53" dataCellStyle="Currency"/>
    <tableColumn id="17" xr3:uid="{00000000-0010-0000-0000-000011000000}" name="Proceeds Price" dataDxfId="226" totalsRowDxfId="225" dataCellStyle="Currency">
      <calculatedColumnFormula>IF(ISNUMBER(CagrTable[[#This Row],[Qty]]),CagrTable[[#This Row],[Proceeds]] / CagrTable[[#This Row],[Qty]], "")</calculatedColumnFormula>
    </tableColumn>
    <tableColumn id="40" xr3:uid="{00000000-0010-0000-0000-000028000000}" name="Trans Date" dataDxfId="224" totalsRowDxfId="223" dataCellStyle="Comma">
      <calculatedColumnFormula>IF(CagrTable[[#This Row],[Is Open]], CagrTable[[#This Row],[Date Opened]], CagrTable[[#This Row],[Date Closed]])</calculatedColumnFormula>
    </tableColumn>
    <tableColumn id="24" xr3:uid="{00000000-0010-0000-0000-000018000000}" name="Plug Type" dataDxfId="222" totalsRowDxfId="52" dataCellStyle="Currency"/>
    <tableColumn id="82" xr3:uid="{13DEAFF3-7A0F-4D9E-87B7-27663CBCEA9C}" name="Notes" totalsRowDxfId="51" dataCellStyle="Normal"/>
    <tableColumn id="8" xr3:uid="{46CDB06F-46CB-43A6-824E-D7573B16734F}" name="Is ACB Put" dataDxfId="221" totalsRowDxfId="220" dataCellStyle="Currency"/>
    <tableColumn id="36" xr3:uid="{83A50E4F-622B-4AE6-AB3A-B69424DC74DD}" name="Is Naked Call" totalsRowFunction="sum" dataDxfId="219" totalsRowDxfId="50" dataCellStyle="Currency"/>
    <tableColumn id="15" xr3:uid="{00000000-0010-0000-0000-00000F000000}" name="Days Held" totalsRowFunction="max" dataDxfId="218" totalsRowDxfId="217" dataCellStyle="Comma">
      <calculatedColumnFormula>IF(CagrTable[[#This Row],[Sell Date]]=CagrTable[[#This Row],[Acquire Date]], 1, ABS(CagrTable[[#This Row],[Sell Date]] - CagrTable[[#This Row],[Acquire Date]]))</calculatedColumnFormula>
    </tableColumn>
    <tableColumn id="22" xr3:uid="{00000000-0010-0000-0000-000016000000}" name="Months Held" totalsRowFunction="average" dataDxfId="216" totalsRowDxfId="49" dataCellStyle="Comma">
      <calculatedColumnFormula>CagrTable[[#This Row],[Days Held]] / 30</calculatedColumnFormula>
    </tableColumn>
    <tableColumn id="78" xr3:uid="{70EB6B70-8466-4DEF-A2B2-1A7226418760}" name="Entry Fees" totalsRowFunction="sum" dataDxfId="215" totalsRowDxfId="214" dataCellStyle="Currency"/>
    <tableColumn id="76" xr3:uid="{A11D33F3-EC5C-4E80-8EDC-824AE48F0CB8}" name="Exit Fees" totalsRowFunction="sum" dataDxfId="213" totalsRowDxfId="48" dataCellStyle="Currency"/>
    <tableColumn id="47" xr3:uid="{00000000-0010-0000-0000-00002F000000}" name="Exp Date" dataDxfId="212" totalsRowDxfId="47" dataCellStyle="Comma"/>
    <tableColumn id="13" xr3:uid="{00000000-0010-0000-0000-00000D000000}" name="Strike Price" dataDxfId="211" totalsRowDxfId="46" dataCellStyle="Comma"/>
    <tableColumn id="77" xr3:uid="{28731E27-3CB2-4AD4-8207-BC7320AC4211}" name="Option Type" dataDxfId="210" totalsRowDxfId="45" dataCellStyle="Comma"/>
    <tableColumn id="43" xr3:uid="{00000000-0010-0000-0000-00002B000000}" name="Option Symbol" dataDxfId="209" totalsRowDxfId="44" dataCellStyle="Comma"/>
    <tableColumn id="80" xr3:uid="{60F28A42-3A50-434F-B7C2-24B8FF4A922F}" name="Pricing Update Included" dataDxfId="208" totalsRowDxfId="43" dataCellStyle="Comma">
      <calculatedColumnFormula>IF(OR(CagrTable[[#This Row],[Is Closed]]="", CagrTable[[#This Row],[Is Closed]]="H"),"Y","")</calculatedColumnFormula>
    </tableColumn>
    <tableColumn id="81" xr3:uid="{71C51370-68E1-4257-8C81-6A5B6A866305}" name="Pricing Update Asset" dataDxfId="207" totalsRowDxfId="42" dataCellStyle="Comma">
      <calculatedColumnFormula>IF(OR(CagrTable[[#This Row],[Position]]="LNG",CagrTable[[#This Row],[Position]]="SHRT"),"Equity","Option")</calculatedColumnFormula>
    </tableColumn>
    <tableColumn id="27" xr3:uid="{6A1B6380-CDDC-4149-BD27-FD00A0CA131F}" name="Pricing Update Symbol" dataDxfId="206" totalsRowDxfId="41" dataCellStyle="Comma">
      <calculatedColumnFormula>IF(CagrTable[[#This Row],[Pricing Update Included]]="Y",IF(CagrTable[[#This Row],[Pricing Update Asset]]="Equity",CagrTable[[#This Row],[Symbol]],CagrTable[[#This Row],[Option Symbol]]),"")</calculatedColumnFormula>
    </tableColumn>
    <tableColumn id="86" xr3:uid="{2904F0F7-21EA-436D-89C9-BF42FAD99075}" name="Visible" dataDxfId="205" totalsRowDxfId="204" dataCellStyle="Comma">
      <calculatedColumnFormula>SUBTOTAL(103,CagrTable[[#This Row],[Symbol]])</calculatedColumnFormula>
    </tableColumn>
    <tableColumn id="84" xr3:uid="{0E1FE889-9F44-45E8-83EC-961E02654F23}" name="Is Long" dataDxfId="203" totalsRowDxfId="202" dataCellStyle="Comma">
      <calculatedColumnFormula>LEFT(CagrTable[[#This Row],[Position]],1)="L"</calculatedColumnFormula>
    </tableColumn>
    <tableColumn id="83" xr3:uid="{934F41C6-08CF-400F-A034-13ED01B6DEF5}" name="Is Short" dataDxfId="201" totalsRowDxfId="200" dataCellStyle="Comma">
      <calculatedColumnFormula>LEFT(CagrTable[[#This Row],[Position]],1)="S"</calculatedColumnFormula>
    </tableColumn>
    <tableColumn id="92" xr3:uid="{FFDC35F3-EBA6-4E57-8B29-8C39E14B2A80}" name="Is DIV" dataDxfId="199" totalsRowDxfId="198" dataCellStyle="Comma">
      <calculatedColumnFormula>(CagrTable[[#This Row],[Position]] = "DIV")</calculatedColumnFormula>
    </tableColumn>
    <tableColumn id="55" xr3:uid="{C733BBD9-C39E-40FA-8926-3FCCD55AED72}" name="Is PLUG" dataDxfId="197" totalsRowDxfId="196" dataCellStyle="Comma">
      <calculatedColumnFormula>CagrTable[[#This Row],[Position]] = "PLUG"</calculatedColumnFormula>
    </tableColumn>
    <tableColumn id="94" xr3:uid="{3C47C73C-5F27-4B0A-BE4E-77F517BA7CCA}" name="Is PLUG Type" dataDxfId="195" totalsRowDxfId="194" dataCellStyle="Comma">
      <calculatedColumnFormula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calculatedColumnFormula>
    </tableColumn>
    <tableColumn id="85" xr3:uid="{18A055D1-0A67-4402-9D0A-0A24A1028031}" name="Is Open" dataDxfId="193" totalsRowDxfId="192" dataCellStyle="Comma">
      <calculatedColumnFormula>CagrTable[[#This Row],[Is Closed]] &lt;&gt; "Y"</calculatedColumnFormula>
    </tableColumn>
    <tableColumn id="102" xr3:uid="{3DB55CC9-26A1-49C9-920C-790D842E6D1D}" name="Is Option" dataDxfId="191" totalsRowDxfId="40" dataCellStyle="Comma">
      <calculatedColumnFormula>OR(CagrTable[[#This Row],[Option Type]]&lt;&gt;"",
  CagrTable[[#This Row],[Position]]="LC", CagrTable[[#This Row],[Position]]="SC",
  CagrTable[[#This Row],[Position]]="LP",CagrTable[[#This Row],[Position]]="SP"
)</calculatedColumnFormula>
    </tableColumn>
    <tableColumn id="104" xr3:uid="{31A89165-3C1A-4F20-A9BF-EE108CAEBAAD}" name="Is Short Call" dataDxfId="190" totalsRowDxfId="39" dataCellStyle="Comma">
      <calculatedColumnFormula>AND(CagrTable[[#This Row],[Option Type]] = "C", CagrTable[[#This Row],[Is Short]])</calculatedColumnFormula>
    </tableColumn>
    <tableColumn id="11" xr3:uid="{0B5735C7-96C3-405C-9216-FCC1A0CE3985}" name="Is Naked Short" dataDxfId="189" totalsRowDxfId="38" dataCellStyle="Comma">
      <calculatedColumnFormula>AND(CagrTable[[#This Row],[Is Short Call]],CagrTable[[#This Row],[Is Naked Call]] = TRUE)</calculatedColumnFormula>
    </tableColumn>
    <tableColumn id="103" xr3:uid="{9739A73A-EC2E-48B0-BEDE-AD12512B2EA3}" name="Is Short Put" dataDxfId="188" totalsRowDxfId="37" dataCellStyle="Comma">
      <calculatedColumnFormula>AND(CagrTable[[#This Row],[Option Type]] = "P", CagrTable[[#This Row],[Is Short]])</calculatedColumnFormula>
    </tableColumn>
    <tableColumn id="52" xr3:uid="{94D98AA7-3198-4C9B-9C4D-625474BFCDF6}" name="Is Long Call" dataDxfId="187" totalsRowDxfId="36" dataCellStyle="Comma">
      <calculatedColumnFormula>CagrTable[[#This Row],[Position]]= "LC"</calculatedColumnFormula>
    </tableColumn>
    <tableColumn id="101" xr3:uid="{E8927AC6-C216-44C0-BE3A-D431B0448F14}" name="Long Share Equivalent" dataDxfId="186" totalsRowDxfId="185" dataCellStyle="Comma">
      <calculatedColumnFormula>IF(AND(CagrTable[[#This Row],[Is Long]], NOT(CagrTable[[#This Row],[Position]]="LP")), CagrTable[[#This Row],[Qty]] * IF(CagrTable[[#This Row],[Is Option]], 100, 1), 0)</calculatedColumnFormula>
    </tableColumn>
    <tableColumn id="45" xr3:uid="{8C9BC677-FDB7-4198-ADF6-1648E785C248}" name="Naked Short Share Equivalent" totalsRowFunction="sum" dataDxfId="184" totalsRowDxfId="35" dataCellStyle="Comma">
      <calculatedColumnFormula>IF(CagrTable[[#This Row],[Is Naked Short]], CagrTable[[#This Row],[Qty]] * -100, 0)</calculatedColumnFormula>
    </tableColumn>
    <tableColumn id="54" xr3:uid="{A825735E-B0C7-4D8D-985E-2BAD6C458D91}" name="ACB Put Share Equivalent" totalsRowFunction="sum" dataDxfId="183" totalsRowDxfId="34" dataCellStyle="Comma">
      <calculatedColumnFormula>IF(CagrTable[[#This Row],[Is ACB Put]], CagrTable[[#This Row],[Qty]] * -100, 0)</calculatedColumnFormula>
    </tableColumn>
    <tableColumn id="12" xr3:uid="{93576432-C0C6-4501-B425-902406311B83}" name="Covered Short Share Equivalent" dataDxfId="182" totalsRowDxfId="181" dataCellStyle="Comma">
      <calculatedColumnFormula>IF(AND(CagrTable[[#This Row],[Is Short]], NOT(CagrTable[[#This Row],[Is Naked Short]])), CagrTable[[#This Row],[Qty]] * IF(CagrTable[[#This Row],[Is Option]], 100, 1), 0)</calculatedColumnFormula>
    </tableColumn>
    <tableColumn id="30" xr3:uid="{836BEEB7-3EAD-47F6-90FD-7A6557F1AE7C}" name="ACB Share Equivalent" dataDxfId="180" totalsRowDxfId="33" dataCellStyle="Comma">
      <calculatedColumnFormula>SUM(CagrTable[[#This Row],[Long Share Equivalent]:[Covered Short Share Equivalent]])</calculatedColumnFormula>
    </tableColumn>
    <tableColumn id="100" xr3:uid="{A8569018-6C78-4EFB-893A-FE13B5CF53FA}" name="Share Equivalent" totalsRowFunction="sum" dataDxfId="179" totalsRowDxfId="32" dataCellStyle="Comma">
      <calculatedColumnFormula>IF(CagrTable[[#This Row],[Is Open]], SUM(CagrTable[[#This Row],[Long Share Equivalent]:[ACB Put Share Equivalent]]), 0)</calculatedColumnFormula>
    </tableColumn>
    <tableColumn id="91" xr3:uid="{3FBE5B8C-9726-4CF3-9D64-637F58306B87}" name="Date Opened" totalsRowFunction="min" dataDxfId="178" totalsRowDxfId="31" dataCellStyle="Comma">
      <calculatedColumnFormula>IF(OR(CagrTable[[#This Row],[Is Long]], CagrTable[[#This Row],[Is DIV]]), CagrTable[[#This Row],[Acquire Date]], CagrTable[[#This Row],[Sell Date]])</calculatedColumnFormula>
    </tableColumn>
    <tableColumn id="21" xr3:uid="{878A05FC-DFC7-4714-9713-724D79DCC3F3}" name="Non Option Date Closed" dataDxfId="177" totalsRowDxfId="176" dataCellStyle="Comma">
      <calculatedColumnFormula>IF(NOT(CagrTable[[#This Row],[Is Option]]), IF(OR(CagrTable[[#This Row],[Is Long]], CagrTable[[#This Row],[Is DIV]]), CagrTable[[#This Row],[Sell Date]], CagrTable[[#This Row],[Acquire Date]]), "")</calculatedColumnFormula>
    </tableColumn>
    <tableColumn id="44" xr3:uid="{FB389364-3B3B-44F5-9F6B-64523FC2D1F5}" name="Open Option Date Closed" dataDxfId="175" totalsRowDxfId="174" dataCellStyle="Comma">
      <calculatedColumnFormula>IF(AND(CagrTable[[#This Row],[Is Option]], CagrTable[[#This Row],[Is Open]]), IF(CagrTable[[#This Row],[Is Long Call]], CagrTable[[#This Row],[Exp Date]], MIN(MockToday, CagrTable[[#This Row],[Exp Date]])), "")</calculatedColumnFormula>
    </tableColumn>
    <tableColumn id="18" xr3:uid="{7D573498-1261-4144-97C7-AC4B85DD1B66}" name="Close Option Date Closed" dataDxfId="173" totalsRowDxfId="30" dataCellStyle="Comma">
      <calculatedColumnFormula>IF(AND(CagrTable[[#This Row],[Is Option]], NOT(CagrTable[[#This Row],[Is Open]])), IF(CagrTable[[#This Row],[Is Long]], CagrTable[[#This Row],[Sell Date]], CagrTable[[#This Row],[Acquire Date]]), "")</calculatedColumnFormula>
    </tableColumn>
    <tableColumn id="93" xr3:uid="{668E5053-1580-47E9-A020-65F30A816E55}" name="Date Closed" totalsRowFunction="max" dataDxfId="172" totalsRowDxfId="29" dataCellStyle="Comma">
      <calculatedColumnFormula array="1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calculatedColumnFormula>
    </tableColumn>
    <tableColumn id="88" xr3:uid="{15690995-61C6-4DCF-A822-2BD6C05507F3}" name="In Tactical View" dataDxfId="171" totalsRowDxfId="170" dataCellStyle="Comma">
      <calculatedColumnFormula>IF(AND(CagrTable[[#This Row],[Visible]], CagrTable[[#This Row],[Is Open]]), OR(CagrTable[[#This Row],[Is Long]], AND(CagrTable[[#This Row],[Is Short]], CagrTable[[#This Row],[Is Naked Call]])), FALSE)</calculatedColumnFormula>
    </tableColumn>
    <tableColumn id="89" xr3:uid="{27ADDF77-E219-4408-BFB4-041B302FCB7E}" name="In Perf View" dataDxfId="169" totalsRowDxfId="168" dataCellStyle="Comma">
      <calculatedColumnFormula>AND(CagrTable[[#This Row],[Visible]], OR(NOT(CagrTable[[#This Row],[Is PLUG]]), CagrTable[[#This Row],[Plug Type]] = "MTM"))</calculatedColumnFormula>
    </tableColumn>
    <tableColumn id="87" xr3:uid="{1EEEE82C-6619-4C9E-B9A9-C5B70A9904EE}" name="In Tax View" dataDxfId="167" totalsRowDxfId="166" dataCellStyle="Comma">
      <calculatedColumnFormula>AND(CagrTable[[#This Row],[Visible]],NOT(CagrTable[[#This Row],[Is Open]]),NOT(CagrTable[[#This Row],[Plug Type]] = "MC"),CagrTable[[#This Row],[Position]]&lt;&gt;"DIV")</calculatedColumnFormula>
    </tableColumn>
    <tableColumn id="32" xr3:uid="{D5BB4746-5E07-43EE-9952-26ABD381FC2F}" name="MC Basis" totalsRowFunction="sum" dataDxfId="165" totalsRowDxfId="28" dataCellStyle="Currency">
      <calculatedColumnFormula>IF(AND(CagrTable[[#This Row],[Visible]], CagrTable[[#This Row],[Plug Type]] = "MC"), CagrTable[[#This Row],[Basis]], 0)</calculatedColumnFormula>
    </tableColumn>
    <tableColumn id="9" xr3:uid="{08D3876C-0E63-41A2-B655-BE5849207851}" name="ACB P&amp;L" totalsRowFunction="sum" dataDxfId="164" totalsRowDxfId="27" dataCellStyle="Comma">
      <calculatedColumnFormula>IF(CagrTable[[#This Row],[Is PLUG]], 0, CagrTable[[#This Row],[Proceeds]] - CagrTable[[#This Row],[Basis]])</calculatedColumnFormula>
    </tableColumn>
    <tableColumn id="79" xr3:uid="{C4DEA3B7-53AA-46A5-8BE2-6AB63C26997A}" name="Premium Input" dataDxfId="163" totalsRowDxfId="26" dataCellStyle="Currency">
      <calculatedColumnFormula>IF(AND(OR(CagrTable[[#This Row],[Is Short Call]],CagrTable[[#This Row],[Is Short Put]])), CagrTable[[#This Row],[Proceeds]], 0)</calculatedColumnFormula>
    </tableColumn>
    <tableColumn id="59" xr3:uid="{BF69381E-BA40-45F2-9A03-A1F3DE1681EC}" name="Premium Offset Input" dataDxfId="162" totalsRowDxfId="25" dataCellStyle="Currency">
      <calculatedColumnFormula>IF(AND(OR(CagrTable[[#This Row],[Is Short Call]],CagrTable[[#This Row],[Is Short Put]])), CagrTable[[#This Row],[Basis]], 0)</calculatedColumnFormula>
    </tableColumn>
    <tableColumn id="58" xr3:uid="{4A74648B-22A0-4E60-BE15-9969F4282858}" name="Premium ACB" dataDxfId="161" totalsRowDxfId="24" dataCellStyle="Currency">
      <calculatedColumnFormula>IF(CagrTable[[#This Row],[Covered Short Share Equivalent]] &gt; 0,-1 * CagrTable[[#This Row],[Premium Input]] / CagrTable[[#This Row],[Covered Short Share Equivalent]], 0)</calculatedColumnFormula>
    </tableColumn>
    <tableColumn id="57" xr3:uid="{641C9DF6-0A23-4E69-9654-991689C629C1}" name="Premium Offset ACB" dataDxfId="160" totalsRowDxfId="23" dataCellStyle="Currency">
      <calculatedColumnFormula>IF(CagrTable[[#This Row],[Covered Short Share Equivalent]] &gt; 0, CagrTable[[#This Row],[Premium Offset Input]] / CagrTable[[#This Row],[Covered Short Share Equivalent]], 0)</calculatedColumnFormula>
    </tableColumn>
    <tableColumn id="90" xr3:uid="{252B51D7-A07D-4CA7-AA84-EB56AF4BF9B2}" name="Net Short Premium ACB" dataDxfId="159" totalsRowDxfId="22" dataCellStyle="Currency">
      <calculatedColumnFormula>SUM(CagrTable[[#This Row],[Premium ACB]:[Premium Offset ACB]])</calculatedColumnFormula>
    </tableColumn>
    <tableColumn id="6" xr3:uid="{3D0C67BC-BF28-43E8-9B05-14B09C82A310}" name="Naked Call ACB" totalsRowFunction="sum" dataDxfId="158" totalsRowDxfId="21" dataCellStyle="Currency">
      <calculatedColumnFormula>IF(CagrTable[[#This Row],[Is Naked Short]],-1 * CagrTable[[#This Row],[Strike Price]] - (CagrTable[[#This Row],[Proceeds]] / CagrTable[[#This Row],[Naked Short Share Equivalent]]), 0)</calculatedColumnFormula>
    </tableColumn>
    <tableColumn id="105" xr3:uid="{AC1B9A13-A543-44B7-B268-9047B27FEEA2}" name="Short Put ACB" totalsRowFunction="sum" dataDxfId="157" totalsRowDxfId="20" dataCellStyle="Currency">
      <calculatedColumnFormula>IF(CagrTable[[#This Row],[Is Short Put]], CagrTable[[#This Row],[Strike Price]] + CagrTable[[#This Row],[Net Short Premium ACB]], 0)</calculatedColumnFormula>
    </tableColumn>
    <tableColumn id="51" xr3:uid="{1E81F123-12A5-42A1-9C36-ECCBF0C1DB93}" name="Long Option ACB" dataDxfId="156" totalsRowDxfId="19" dataCellStyle="Currency">
      <calculatedColumnFormula>IF(AND(CagrTable[[#This Row],[Is Long Call]], NOT(CagrTable[[#This Row],[Is PLUG]])), -1 * CagrTable[[#This Row],[P&amp;L]]/(CagrTable[[#This Row],[Qty]] * 100), 0)</calculatedColumnFormula>
    </tableColumn>
    <tableColumn id="50" xr3:uid="{67370970-F1C2-4D2E-BB0B-12BF49B5F7F4}" name="Equity ACB" dataDxfId="155" totalsRowDxfId="18" dataCellStyle="Currency">
      <calculatedColumnFormula>IF(AND(NOT(CagrTable[[#This Row],[Is Option]]), NOT(CagrTable[[#This Row],[Is PLUG]]), CagrTable[[#This Row],[Is Open]]), -CagrTable[[#This Row],[P&amp;L]]/CagrTable[[#This Row],[Qty]], 0)</calculatedColumnFormula>
    </tableColumn>
    <tableColumn id="56" xr3:uid="{128FB4A3-45B9-4B30-A47E-337449424522}" name="Is In Weighted ACB" dataDxfId="154" totalsRowDxfId="17" dataCellStyle="Currency">
      <calculatedColumnFormula>AND(_Total_ACB_Shares&lt;&gt;0, NOT(CagrTable[[#This Row],[Is PLUG]]))</calculatedColumnFormula>
    </tableColumn>
    <tableColumn id="49" xr3:uid="{4861DADF-32C1-49E0-BE08-2034490F56F0}" name="Prelim Weighted ACB" dataDxfId="153" totalsRowDxfId="16" dataCellStyle="Currency">
      <calculatedColumnFormula>IF(OR(_Total_ACB_Shares=0, CagrTable[[#This Row],[Is PLUG]]), 0, (CagrTable[[#This Row],[ACB]] * CagrTable[[#This Row],[Qty]] * IF(CagrTable[[#This Row],[Is Option]], 100, 1))/ _Total_ACB_Shares)</calculatedColumnFormula>
    </tableColumn>
    <tableColumn id="33" xr3:uid="{5E9579C6-86D6-4BC0-9134-92310BF222DF}" name="ACB Sign" dataDxfId="152" totalsRowDxfId="15" dataCellStyle="Comma">
      <calculatedColumnFormula>IF(_Total_ACB_Shares &lt; 0, -1, 1)</calculatedColumnFormula>
    </tableColumn>
    <tableColumn id="35" xr3:uid="{00000000-0010-0000-0000-000023000000}" name="ACB" dataDxfId="56" totalsRowDxfId="14" dataCellStyle="Comma">
      <calculatedColumnFormula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calculatedColumnFormula>
    </tableColumn>
    <tableColumn id="28" xr3:uid="{39408ECF-FA9E-4031-AA9C-2CB254B546D8}" name="Weighted ACB" totalsRowFunction="sum" dataDxfId="151" totalsRowDxfId="13" dataCellStyle="Comma">
      <calculatedColumnFormula>CagrTable[[#This Row],[Prelim Weighted ACB]] * CagrTable[[#This Row],[ACB Sign]]</calculatedColumnFormula>
    </tableColumn>
    <tableColumn id="20" xr3:uid="{00000000-0010-0000-0000-000014000000}" name="P&amp;L" totalsRowFunction="sum" dataDxfId="150" totalsRowDxfId="12" dataCellStyle="Currency">
      <calculatedColumnFormula>CagrTable[[#This Row],[Proceeds]] - CagrTable[[#This Row],[Basis]]</calculatedColumnFormula>
    </tableColumn>
    <tableColumn id="26" xr3:uid="{00000000-0010-0000-0000-00001A000000}" name="Trade Type" dataDxfId="149" totalsRowDxfId="148" dataCellStyle="Percent"/>
    <tableColumn id="37" xr3:uid="{00000000-0010-0000-0000-000025000000}" name="Bias" dataDxfId="147" totalsRowDxfId="146" dataCellStyle="Percent"/>
    <tableColumn id="71" xr3:uid="{1E791A8B-7A20-4CCD-B45E-1F519170199C}" name="Source" dataDxfId="145" totalsRowDxfId="144" dataCellStyle="Percent"/>
    <tableColumn id="38" xr3:uid="{00000000-0010-0000-0000-000026000000}" name="Entry Trigger" dataDxfId="143" totalsRowDxfId="142" dataCellStyle="Percent"/>
    <tableColumn id="31" xr3:uid="{00000000-0010-0000-0000-00001F000000}" name="Entry Commentary" dataDxfId="141" totalsRowDxfId="140" dataCellStyle="Percent"/>
    <tableColumn id="25" xr3:uid="{00000000-0010-0000-0000-000019000000}" name="Entry Und Price" dataDxfId="139" totalsRowDxfId="138" dataCellStyle="Currency"/>
    <tableColumn id="64" xr3:uid="{00000000-0010-0000-0000-000040000000}" name="Entry Fill Price" dataDxfId="137" totalsRowDxfId="136" dataCellStyle="Currency"/>
    <tableColumn id="69" xr3:uid="{00000000-0010-0000-0000-000045000000}" name="Entry Fill Time" dataDxfId="135" totalsRowDxfId="11" dataCellStyle="Currency"/>
    <tableColumn id="53" xr3:uid="{00000000-0010-0000-0000-000035000000}" name="Entry Day High" dataDxfId="134" totalsRowDxfId="133" dataCellStyle="Currency"/>
    <tableColumn id="41" xr3:uid="{00000000-0010-0000-0000-000029000000}" name="Entry Day Low" dataDxfId="132" totalsRowDxfId="131" dataCellStyle="Currency"/>
    <tableColumn id="14" xr3:uid="{00000000-0010-0000-0000-00000E000000}" name="Entry Fill Score" dataDxfId="130" totalsRowDxfId="129" dataCellStyle="Currency"/>
    <tableColumn id="19" xr3:uid="{00000000-0010-0000-0000-000013000000}" name="Entry URL" dataDxfId="128" totalsRowDxfId="127" dataCellStyle="Hyperlink"/>
    <tableColumn id="61" xr3:uid="{6954A1B2-694A-44A5-8593-1D53D0F8F38B}" name="Entry Order Type" dataDxfId="126" totalsRowDxfId="125" dataCellStyle="Percent"/>
    <tableColumn id="73" xr3:uid="{57E49514-4F5A-4EB0-9092-EE33A359A125}" name="Entry LMT Amount" dataDxfId="124" totalsRowDxfId="123" dataCellStyle="Currency"/>
    <tableColumn id="29" xr3:uid="{00000000-0010-0000-0000-00001D000000}" name="Entry Trade" dataDxfId="122" totalsRowDxfId="121" dataCellStyle="Percent"/>
    <tableColumn id="42" xr3:uid="{00000000-0010-0000-0000-00002A000000}" name="Exit Trigger" dataDxfId="120" totalsRowDxfId="119" dataCellStyle="Percent"/>
    <tableColumn id="48" xr3:uid="{00000000-0010-0000-0000-000030000000}" name="Exit Commentary" dataDxfId="118" totalsRowDxfId="117" dataCellStyle="Percent"/>
    <tableColumn id="23" xr3:uid="{00000000-0010-0000-0000-000017000000}" name="Exit Und Price" dataDxfId="116" totalsRowDxfId="10" dataCellStyle="Currency"/>
    <tableColumn id="68" xr3:uid="{00000000-0010-0000-0000-000044000000}" name="Exit Fill Price" dataDxfId="115" totalsRowDxfId="9" dataCellStyle="Currency"/>
    <tableColumn id="70" xr3:uid="{00000000-0010-0000-0000-000046000000}" name="Exit Fill Time" dataDxfId="114" totalsRowDxfId="8" dataCellStyle="Currency"/>
    <tableColumn id="67" xr3:uid="{00000000-0010-0000-0000-000043000000}" name="Exit Day High" dataDxfId="113" totalsRowDxfId="7" dataCellStyle="Currency"/>
    <tableColumn id="66" xr3:uid="{00000000-0010-0000-0000-000042000000}" name="Exit Day Low" dataDxfId="112" totalsRowDxfId="6" dataCellStyle="Currency"/>
    <tableColumn id="65" xr3:uid="{00000000-0010-0000-0000-000041000000}" name="Exit Fill Score" dataDxfId="111" totalsRowDxfId="5" dataCellStyle="Currency"/>
    <tableColumn id="60" xr3:uid="{00000000-0010-0000-0000-00003C000000}" name="Exit URL" dataDxfId="110" totalsRowDxfId="4" dataCellStyle="Hyperlink"/>
    <tableColumn id="72" xr3:uid="{8FEDDF4D-F48B-42EA-817A-0A731F271AB5}" name="Exit Order Type" dataDxfId="109" totalsRowDxfId="3" dataCellStyle="Currency"/>
    <tableColumn id="74" xr3:uid="{19FE9785-74D6-4F6A-B308-ADFF25527FAA}" name="Exit LMT Amount" dataDxfId="108" totalsRowDxfId="2" dataCellStyle="Currency"/>
    <tableColumn id="63" xr3:uid="{00000000-0010-0000-0000-00003F000000}" name="Exit Trade" dataDxfId="107" totalsRowDxfId="1" dataCellStyle="Percent"/>
    <tableColumn id="34" xr3:uid="{00000000-0010-0000-0000-000022000000}" name="Roll" dataDxfId="106" totalsRowDxfId="0" dataCellStyle="Percent"/>
    <tableColumn id="75" xr3:uid="{A146063A-D08F-4DEB-B68B-DF691BB20518}" name="GUID Lookup" totalsRowFunction="count" dataDxfId="105" totalsRowDxfId="104" dataCellStyle="Explanatory Text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blFilters" displayName="tblFilters" ref="F3:T9" totalsRowShown="0" headerRowDxfId="103">
  <autoFilter ref="F3:T9" xr:uid="{00000000-0009-0000-0100-000001000000}"/>
  <sortState xmlns:xlrd2="http://schemas.microsoft.com/office/spreadsheetml/2017/richdata2" caseSensitive="1" ref="F4:T9">
    <sortCondition ref="F3:F9"/>
  </sortState>
  <tableColumns count="15">
    <tableColumn id="1" xr3:uid="{00000000-0010-0000-0100-000001000000}" name="Spec Name" dataDxfId="102"/>
    <tableColumn id="2" xr3:uid="{00000000-0010-0000-0100-000002000000}" name="Comments" dataDxfId="101"/>
    <tableColumn id="3" xr3:uid="{00000000-0010-0000-0100-000003000000}" name="Column Name1" dataDxfId="100"/>
    <tableColumn id="4" xr3:uid="{00000000-0010-0000-0100-000004000000}" name="1st Criteria1" dataDxfId="99"/>
    <tableColumn id="5" xr3:uid="{00000000-0010-0000-0100-000005000000}" name="1st Criteria Op1" dataDxfId="98"/>
    <tableColumn id="6" xr3:uid="{00000000-0010-0000-0100-000006000000}" name="XlAutoFilter Op1" dataDxfId="97"/>
    <tableColumn id="7" xr3:uid="{00000000-0010-0000-0100-000007000000}" name="2nd Criteria1" dataDxfId="96"/>
    <tableColumn id="8" xr3:uid="{00000000-0010-0000-0100-000008000000}" name="2nd Criteria Op1" dataDxfId="95"/>
    <tableColumn id="9" xr3:uid="{00000000-0010-0000-0100-000009000000}" name="Column Name2" dataDxfId="94"/>
    <tableColumn id="10" xr3:uid="{00000000-0010-0000-0100-00000A000000}" name="1st Criteria2" dataDxfId="93"/>
    <tableColumn id="11" xr3:uid="{00000000-0010-0000-0100-00000B000000}" name="1st Criteria Op2" dataDxfId="92"/>
    <tableColumn id="12" xr3:uid="{00000000-0010-0000-0100-00000C000000}" name="XlAutoFilter Op2" dataDxfId="91"/>
    <tableColumn id="13" xr3:uid="{00000000-0010-0000-0100-00000D000000}" name="2nd Criteria2" dataDxfId="90"/>
    <tableColumn id="14" xr3:uid="{00000000-0010-0000-0100-00000E000000}" name="2nd Criteria Op2" dataDxfId="89"/>
    <tableColumn id="15" xr3:uid="{75DECC54-67F4-4EED-9B70-50898CA84171}" name="GUID Lookup" dataDxfId="8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blViewsTable" displayName="tblViewsTable" ref="B4:O12" totalsRowShown="0" headerRowDxfId="87">
  <autoFilter ref="B4:O12" xr:uid="{00000000-0009-0000-0100-000004000000}"/>
  <sortState xmlns:xlrd2="http://schemas.microsoft.com/office/spreadsheetml/2017/richdata2" caseSensitive="1" ref="B5:O12">
    <sortCondition ref="B4:B12"/>
  </sortState>
  <tableColumns count="14">
    <tableColumn id="16" xr3:uid="{00000000-0010-0000-0200-000010000000}" name="ViewName" dataDxfId="86"/>
    <tableColumn id="15" xr3:uid="{00000000-0010-0000-0200-00000F000000}" name="GroupName1" dataDxfId="85"/>
    <tableColumn id="1" xr3:uid="{00000000-0010-0000-0200-000001000000}" name="GroupName2" dataDxfId="84"/>
    <tableColumn id="2" xr3:uid="{00000000-0010-0000-0200-000002000000}" name="GroupName3"/>
    <tableColumn id="5" xr3:uid="{00000000-0010-0000-0200-000005000000}" name="AutoFilterName"/>
    <tableColumn id="6" xr3:uid="{00000000-0010-0000-0200-000006000000}" name="CriteriaFilterName"/>
    <tableColumn id="4" xr3:uid="{11DC31DE-A885-428A-AA48-159B44E1D3A5}" name="ScrollToCol"/>
    <tableColumn id="7" xr3:uid="{00000000-0010-0000-0200-000007000000}" name="SortCol1" dataDxfId="83"/>
    <tableColumn id="14" xr3:uid="{00000000-0010-0000-0200-00000E000000}" name="SortDir1" dataDxfId="82"/>
    <tableColumn id="8" xr3:uid="{00000000-0010-0000-0200-000008000000}" name="SortCol2" dataDxfId="81"/>
    <tableColumn id="9" xr3:uid="{00000000-0010-0000-0200-000009000000}" name="SortDir2" dataDxfId="80"/>
    <tableColumn id="10" xr3:uid="{00000000-0010-0000-0200-00000A000000}" name="SortCol3" dataDxfId="79"/>
    <tableColumn id="11" xr3:uid="{00000000-0010-0000-0200-00000B000000}" name="SortDir3" dataDxfId="78"/>
    <tableColumn id="3" xr3:uid="{9E3E7442-D6E8-4BE0-87E2-CAC6BD7E0D0F}" name="GUID Lookup" dataDxfId="7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blGroupNames" displayName="tblGroupNames" ref="A1:F11" totalsRowCount="1" headerRowDxfId="76" dataDxfId="75">
  <autoFilter ref="A1:F10" xr:uid="{00000000-0009-0000-0100-000003000000}"/>
  <sortState xmlns:xlrd2="http://schemas.microsoft.com/office/spreadsheetml/2017/richdata2" caseSensitive="1" ref="A2:F10">
    <sortCondition ref="E2:E10"/>
    <sortCondition ref="B2:B10"/>
  </sortState>
  <tableColumns count="6">
    <tableColumn id="1" xr3:uid="{00000000-0010-0000-0300-000001000000}" name="Name" totalsRowLabel="Total" dataDxfId="74" totalsRowDxfId="73"/>
    <tableColumn id="2" xr3:uid="{00000000-0010-0000-0300-000002000000}" name="Order" totalsRowFunction="count" dataDxfId="72" totalsRowDxfId="71"/>
    <tableColumn id="4" xr3:uid="{00000000-0010-0000-0300-000004000000}" name="Address" dataDxfId="70" totalsRowDxfId="69"/>
    <tableColumn id="5" xr3:uid="{F5DDC96E-06D4-4FAC-A27E-D75E5CC1623B}" name="Parent" dataDxfId="68" totalsRowDxfId="67" dataCellStyle="Normal 2"/>
    <tableColumn id="3" xr3:uid="{00000000-0010-0000-0300-000003000000}" name="Level" dataDxfId="66" totalsRowDxfId="65"/>
    <tableColumn id="6" xr3:uid="{74AC9F68-40B4-47D0-85A1-AF18363C8983}" name="GUID Lookup" dataDxfId="64" totalsRowDxfId="6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  <wetp:taskpane dockstate="right" visibility="0" width="350" row="1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694D902B-0224-442E-A8FD-8D6E3C9DBC01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a42b856a-8d29-44c9-9f6c-bcd95c419d15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76719E6-6141-4571-AD88-D22C6086C8CE}">
  <we:reference id="wa200010725" version="1.0.0.1" store="en-US" storeType="OMEX"/>
  <we:alternateReferences>
    <we:reference id="wa200010725" version="1.0.0.1" store="wa200010725" storeType="OMEX"/>
  </we:alternateReferences>
  <we:properties>
    <we:property name="claude.fileId" value="&quot;f336eee4-727d-40d1-b11e-bafefb23a671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../../../../AppData/AppData/AppData/AppData/AppData/AppData/AppData/AppData/AppData/AppData/AppData/AppData/AppData/AppData/Roaming/Microsoft/Excel/option%20wbks/NVDA%20Latest.docx" TargetMode="External"/><Relationship Id="rId2" Type="http://schemas.openxmlformats.org/officeDocument/2006/relationships/hyperlink" Target="../../../../AppData/AppData/AppData/AppData/AppData/AppData/AppData/AppData/AppData/AppData/AppData/AppData/AppData/AppData/AppData/AppData/Roaming/Microsoft/Excel/option%20wbks/ZM%202019%200910.docx" TargetMode="External"/><Relationship Id="rId1" Type="http://schemas.openxmlformats.org/officeDocument/2006/relationships/hyperlink" Target="http://www.investopedia.com/terms/c/cagr.asp" TargetMode="External"/><Relationship Id="rId6" Type="http://schemas.openxmlformats.org/officeDocument/2006/relationships/table" Target="../tables/table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../../../../AppData/AppData/AppData/AppData/AppData/AppData/AppData/AppData/Roaming/Microsoft/Excel/CAGR%20PLUG%20Guidelines.docx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pageSetUpPr autoPageBreaks="0"/>
  </sheetPr>
  <dimension ref="A1:DL6675"/>
  <sheetViews>
    <sheetView tabSelected="1" zoomScale="90" zoomScaleNormal="90" workbookViewId="0">
      <pane xSplit="6" ySplit="7" topLeftCell="G8" activePane="bottomRight" state="frozen"/>
      <selection pane="topRight" activeCell="G5" sqref="G5"/>
      <selection pane="bottomLeft" activeCell="A8" sqref="A8"/>
      <selection pane="bottomRight" activeCell="AT12" sqref="AT12"/>
    </sheetView>
  </sheetViews>
  <sheetFormatPr defaultColWidth="9.140625" defaultRowHeight="12.75" outlineLevelRow="1" outlineLevelCol="2"/>
  <cols>
    <col min="1" max="1" width="11.5703125" style="13" customWidth="1"/>
    <col min="2" max="2" width="5.7109375" style="13" customWidth="1"/>
    <col min="3" max="3" width="9.140625" style="13" customWidth="1"/>
    <col min="4" max="4" width="5.7109375" style="13" customWidth="1"/>
    <col min="5" max="5" width="10" style="13" customWidth="1"/>
    <col min="6" max="6" width="7.28515625" style="40" customWidth="1"/>
    <col min="7" max="7" width="10.7109375" style="13" customWidth="1"/>
    <col min="8" max="8" width="15.7109375" style="14" customWidth="1" outlineLevel="1"/>
    <col min="9" max="9" width="12.7109375" style="15" customWidth="1" outlineLevel="1"/>
    <col min="10" max="10" width="10.7109375" style="15" customWidth="1" outlineLevel="1"/>
    <col min="11" max="11" width="15.7109375" style="14" customWidth="1" outlineLevel="1"/>
    <col min="12" max="12" width="11.7109375" style="16" customWidth="1" outlineLevel="1"/>
    <col min="13" max="13" width="10.7109375" style="17" customWidth="1"/>
    <col min="14" max="14" width="8.7109375" style="17" customWidth="1"/>
    <col min="15" max="15" width="18.7109375" style="17" customWidth="1"/>
    <col min="16" max="17" width="7.7109375" style="17" customWidth="1"/>
    <col min="18" max="18" width="8.140625" style="17" customWidth="1"/>
    <col min="19" max="19" width="9.7109375" style="17" hidden="1" customWidth="1" outlineLevel="1"/>
    <col min="20" max="20" width="9.7109375" style="16" hidden="1" customWidth="1" outlineLevel="1"/>
    <col min="21" max="21" width="8.7109375" style="17" hidden="1" customWidth="1" outlineLevel="1"/>
    <col min="22" max="22" width="11.28515625" style="160" hidden="1" customWidth="1" outlineLevel="2"/>
    <col min="23" max="24" width="8.7109375" style="17" hidden="1" customWidth="1" outlineLevel="2"/>
    <col min="25" max="25" width="23.28515625" style="17" hidden="1" customWidth="1" outlineLevel="2"/>
    <col min="26" max="26" width="10.7109375" style="17" hidden="1" customWidth="1" outlineLevel="1" collapsed="1"/>
    <col min="27" max="27" width="10.7109375" style="17" hidden="1" customWidth="1" outlineLevel="1"/>
    <col min="28" max="28" width="11.7109375" style="17" hidden="1" customWidth="1" outlineLevel="1"/>
    <col min="29" max="29" width="7.7109375" style="40" hidden="1" customWidth="1" outlineLevel="2"/>
    <col min="30" max="34" width="6.7109375" style="40" hidden="1" customWidth="1" outlineLevel="2"/>
    <col min="35" max="35" width="7.7109375" style="40" hidden="1" customWidth="1" outlineLevel="2"/>
    <col min="36" max="39" width="7.7109375" style="17" hidden="1" customWidth="1" outlineLevel="2"/>
    <col min="40" max="40" width="7.7109375" style="17" hidden="1" customWidth="1" outlineLevel="1" collapsed="1"/>
    <col min="41" max="45" width="10.7109375" style="40" hidden="1" customWidth="1" outlineLevel="2"/>
    <col min="46" max="46" width="11.7109375" style="40" hidden="1" customWidth="1" outlineLevel="1" collapsed="1"/>
    <col min="47" max="47" width="10.7109375" style="40" hidden="1" customWidth="1" outlineLevel="2"/>
    <col min="48" max="50" width="8.7109375" style="40" hidden="1" customWidth="1" outlineLevel="2"/>
    <col min="51" max="51" width="10.7109375" style="40" hidden="1" customWidth="1" outlineLevel="1" collapsed="1"/>
    <col min="52" max="52" width="8.7109375" style="40" hidden="1" customWidth="1" outlineLevel="1"/>
    <col min="53" max="54" width="6.7109375" style="40" hidden="1" customWidth="1" outlineLevel="1"/>
    <col min="55" max="55" width="10.5703125" style="15" hidden="1" customWidth="1" outlineLevel="1"/>
    <col min="56" max="56" width="10.5703125" style="40" hidden="1" customWidth="1" outlineLevel="1"/>
    <col min="57" max="60" width="10.140625" hidden="1" customWidth="1" outlineLevel="2"/>
    <col min="61" max="61" width="10.140625" hidden="1" customWidth="1" outlineLevel="1" collapsed="1"/>
    <col min="62" max="62" width="8.7109375" hidden="1" customWidth="1" outlineLevel="1"/>
    <col min="63" max="65" width="9.140625" hidden="1" customWidth="1" outlineLevel="1"/>
    <col min="66" max="67" width="10.7109375" hidden="1" customWidth="1" outlineLevel="1"/>
    <col min="68" max="68" width="8.7109375" hidden="1" customWidth="1" outlineLevel="1"/>
    <col min="69" max="69" width="9.5703125" bestFit="1" customWidth="1" collapsed="1"/>
    <col min="70" max="70" width="11.7109375" customWidth="1"/>
    <col min="71" max="71" width="12.7109375" customWidth="1"/>
    <col min="72" max="72" width="19" customWidth="1"/>
    <col min="73" max="73" width="9.140625" customWidth="1"/>
    <col min="74" max="74" width="10.7109375" customWidth="1"/>
    <col min="75" max="75" width="15.7109375" style="17" customWidth="1"/>
    <col min="76" max="76" width="30.7109375" style="17" hidden="1" customWidth="1" outlineLevel="1"/>
    <col min="77" max="78" width="10.7109375" style="17" hidden="1" customWidth="1" outlineLevel="1"/>
    <col min="79" max="79" width="18.7109375" style="17" hidden="1" customWidth="1" outlineLevel="1"/>
    <col min="80" max="80" width="12.7109375" style="17" hidden="1" customWidth="1" outlineLevel="1"/>
    <col min="81" max="81" width="15.7109375" style="17" hidden="1" customWidth="1" outlineLevel="1"/>
    <col min="82" max="82" width="9.7109375" style="17" hidden="1" customWidth="1" outlineLevel="1"/>
    <col min="83" max="83" width="7.7109375" style="17" hidden="1" customWidth="1" outlineLevel="1"/>
    <col min="84" max="84" width="10.7109375" hidden="1" customWidth="1" outlineLevel="1"/>
    <col min="85" max="85" width="10.7109375" style="18" hidden="1" customWidth="1" outlineLevel="1"/>
    <col min="86" max="86" width="30.7109375" style="13" customWidth="1" collapsed="1"/>
    <col min="87" max="87" width="15.7109375" style="13" customWidth="1"/>
    <col min="88" max="88" width="30.7109375" style="24" hidden="1" customWidth="1" outlineLevel="1"/>
    <col min="89" max="90" width="10.7109375" style="13" hidden="1" customWidth="1" outlineLevel="1"/>
    <col min="91" max="91" width="18.7109375" style="13" hidden="1" customWidth="1" outlineLevel="1"/>
    <col min="92" max="94" width="9.7109375" style="13" hidden="1" customWidth="1" outlineLevel="1"/>
    <col min="95" max="95" width="7.7109375" style="13" hidden="1" customWidth="1" outlineLevel="1"/>
    <col min="96" max="97" width="10.7109375" style="13" hidden="1" customWidth="1" outlineLevel="1"/>
    <col min="98" max="98" width="30.7109375" style="1" customWidth="1" collapsed="1"/>
    <col min="99" max="99" width="18.85546875" style="13" customWidth="1"/>
    <col min="100" max="100" width="38.42578125" style="13" bestFit="1" customWidth="1"/>
    <col min="101" max="101" width="5.85546875" style="13" bestFit="1" customWidth="1"/>
    <col min="102" max="102" width="1.42578125" style="13" bestFit="1" customWidth="1"/>
    <col min="103" max="103" width="30.7109375" style="13" customWidth="1"/>
    <col min="104" max="107" width="20.7109375" style="13" customWidth="1"/>
    <col min="108" max="108" width="18.7109375" style="13" bestFit="1" customWidth="1"/>
    <col min="109" max="109" width="45.7109375" style="13" customWidth="1"/>
    <col min="110" max="110" width="20.7109375" style="13" customWidth="1"/>
    <col min="111" max="111" width="10.7109375" style="13" customWidth="1"/>
    <col min="112" max="113" width="30.7109375" style="13" customWidth="1"/>
    <col min="114" max="114" width="12.7109375" style="13" customWidth="1"/>
    <col min="115" max="115" width="10.28515625" style="13" customWidth="1"/>
    <col min="116" max="116" width="21.28515625" style="19" bestFit="1" customWidth="1"/>
    <col min="117" max="117" width="21.28515625" style="13" bestFit="1" customWidth="1"/>
    <col min="118" max="16384" width="9.140625" style="13"/>
  </cols>
  <sheetData>
    <row r="1" spans="1:116" hidden="1">
      <c r="A1" s="102" t="s">
        <v>0</v>
      </c>
      <c r="B1" s="102"/>
      <c r="C1" s="1"/>
      <c r="D1" s="1"/>
      <c r="E1" s="1"/>
      <c r="F1" s="103"/>
      <c r="G1" s="104"/>
      <c r="H1" s="25"/>
      <c r="I1" s="25"/>
      <c r="J1" s="104"/>
      <c r="K1" s="105"/>
      <c r="L1" s="37"/>
      <c r="M1" s="37"/>
      <c r="N1" s="37"/>
      <c r="O1" s="37"/>
      <c r="P1" s="37"/>
      <c r="Q1" s="37"/>
      <c r="R1" s="37"/>
      <c r="S1" s="37"/>
      <c r="T1" s="105"/>
      <c r="U1" s="37"/>
      <c r="V1" s="154"/>
      <c r="W1" s="37"/>
      <c r="X1" s="37"/>
      <c r="Y1" s="37"/>
      <c r="Z1" s="37"/>
      <c r="AA1" s="37"/>
      <c r="AB1" s="37"/>
      <c r="AC1" s="103"/>
      <c r="AD1" s="103"/>
      <c r="AE1" s="103"/>
      <c r="AF1" s="103"/>
      <c r="AG1" s="103"/>
      <c r="AH1" s="103"/>
      <c r="AI1" s="103"/>
      <c r="AJ1" s="37"/>
      <c r="AK1" s="37"/>
      <c r="AL1" s="37"/>
      <c r="AM1" s="37"/>
      <c r="AN1" s="37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25"/>
      <c r="BD1" s="103"/>
      <c r="BE1" s="37"/>
      <c r="BF1" s="37"/>
      <c r="BG1" s="37"/>
      <c r="BH1" s="37"/>
      <c r="BI1" s="37"/>
      <c r="BJ1" s="37"/>
      <c r="BK1" s="37"/>
      <c r="BL1" s="37"/>
      <c r="BM1" s="37"/>
      <c r="BN1" s="37"/>
      <c r="BO1" s="37"/>
      <c r="BP1" s="37"/>
      <c r="BQ1" s="37"/>
      <c r="BR1" s="37"/>
      <c r="BS1" s="37"/>
      <c r="BT1" s="25"/>
      <c r="BU1" s="1"/>
      <c r="BV1" s="1"/>
      <c r="BW1" s="1"/>
      <c r="BX1" s="1"/>
      <c r="BY1" s="1"/>
      <c r="BZ1" s="1"/>
      <c r="CA1" s="106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06"/>
      <c r="CN1" s="1"/>
      <c r="CO1" s="1"/>
      <c r="CP1" s="1"/>
      <c r="CQ1" s="1"/>
      <c r="CR1" s="1"/>
      <c r="CS1" s="1"/>
      <c r="CU1" s="25"/>
      <c r="CV1" s="107"/>
      <c r="CW1" s="102"/>
      <c r="DC1" s="19"/>
      <c r="DL1" s="13"/>
    </row>
    <row r="2" spans="1:116" ht="12" hidden="1" customHeight="1">
      <c r="A2" s="20" t="s">
        <v>1</v>
      </c>
      <c r="B2" s="20"/>
      <c r="C2" s="108"/>
      <c r="D2" s="108"/>
      <c r="E2" s="108"/>
      <c r="F2" s="103"/>
      <c r="G2" s="109"/>
      <c r="H2" s="110"/>
      <c r="I2" s="111"/>
      <c r="J2" s="112"/>
      <c r="K2" s="113"/>
      <c r="L2" s="113"/>
      <c r="M2" s="113"/>
      <c r="N2" s="113"/>
      <c r="O2" s="113"/>
      <c r="P2" s="113"/>
      <c r="Q2" s="113"/>
      <c r="R2" s="37"/>
      <c r="S2" s="37"/>
      <c r="T2" s="105"/>
      <c r="U2" s="37"/>
      <c r="V2" s="154"/>
      <c r="W2" s="37"/>
      <c r="X2" s="37"/>
      <c r="Y2" s="37"/>
      <c r="Z2" s="37"/>
      <c r="AA2" s="37"/>
      <c r="AB2" s="37"/>
      <c r="AC2" s="103"/>
      <c r="AD2" s="103"/>
      <c r="AE2" s="103"/>
      <c r="AF2" s="103"/>
      <c r="AG2" s="103"/>
      <c r="AH2" s="103"/>
      <c r="AI2" s="103"/>
      <c r="AJ2" s="37"/>
      <c r="AK2" s="37"/>
      <c r="AL2" s="37"/>
      <c r="AM2" s="37"/>
      <c r="AN2" s="37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25"/>
      <c r="BD2" s="103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25"/>
      <c r="BU2" s="1"/>
      <c r="BV2" s="1"/>
      <c r="BW2" s="1"/>
      <c r="BX2" s="1"/>
      <c r="BY2" s="1"/>
      <c r="BZ2" s="1"/>
      <c r="CA2" s="106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06"/>
      <c r="CN2" s="1"/>
      <c r="CO2" s="1"/>
      <c r="CP2" s="1"/>
      <c r="CQ2" s="1"/>
      <c r="CR2" s="1"/>
      <c r="CS2" s="1"/>
      <c r="CU2" s="25"/>
      <c r="CV2" s="107"/>
      <c r="CW2" s="20"/>
      <c r="DC2" s="19"/>
      <c r="DL2" s="13"/>
    </row>
    <row r="3" spans="1:116" ht="25.5" hidden="1" customHeight="1">
      <c r="A3" s="114" t="str">
        <f>CagrTable[[#Headers],[Symbol]]</f>
        <v>Symbol</v>
      </c>
      <c r="B3" s="114"/>
      <c r="C3" s="114" t="str">
        <f>CagrTable[[#Headers],[Qty]]</f>
        <v>Qty</v>
      </c>
      <c r="D3" s="114"/>
      <c r="E3" s="114" t="str">
        <f>CagrTable[[#Headers],[Trade ID]]</f>
        <v>Trade ID</v>
      </c>
      <c r="F3" s="115"/>
      <c r="G3" s="114" t="str">
        <f>CagrTable[[#Headers],[Acquire Date]]</f>
        <v>Acquire Date</v>
      </c>
      <c r="H3" s="114" t="str">
        <f>CagrTable[[#Headers],[Basis]]</f>
        <v>Basis</v>
      </c>
      <c r="I3" s="114" t="str">
        <f>CagrTable[[#Headers],[Basis Price]]</f>
        <v>Basis Price</v>
      </c>
      <c r="J3" s="114" t="str">
        <f>CagrTable[[#Headers],[Sell Date]]</f>
        <v>Sell Date</v>
      </c>
      <c r="K3" s="114" t="str">
        <f>CagrTable[[#Headers],[Proceeds]]</f>
        <v>Proceeds</v>
      </c>
      <c r="L3" s="114" t="str">
        <f>CagrTable[[#Headers],[Proceeds Price]]</f>
        <v>Proceeds Price</v>
      </c>
      <c r="M3" s="114"/>
      <c r="N3" s="114" t="str">
        <f>CagrTable[[#Headers],[Plug Type]]</f>
        <v>Plug Type</v>
      </c>
      <c r="O3" s="114"/>
      <c r="P3" s="114"/>
      <c r="Q3" s="114"/>
      <c r="R3" s="114" t="str">
        <f>CagrTable[[#Headers],[Days Held]]</f>
        <v>Days Held</v>
      </c>
      <c r="S3" s="114" t="str">
        <f>CagrTable[[#Headers],[Months Held]]</f>
        <v>Months Held</v>
      </c>
      <c r="T3" s="116"/>
      <c r="U3" s="114"/>
      <c r="V3" s="155"/>
      <c r="W3" s="114"/>
      <c r="X3" s="114"/>
      <c r="Y3" s="114"/>
      <c r="Z3" s="114"/>
      <c r="AA3" s="114"/>
      <c r="AB3" s="114"/>
      <c r="AC3" s="115"/>
      <c r="AD3" s="115"/>
      <c r="AE3" s="115"/>
      <c r="AF3" s="115"/>
      <c r="AG3" s="115"/>
      <c r="AH3" s="115"/>
      <c r="AI3" s="115"/>
      <c r="AJ3" s="114"/>
      <c r="AK3" s="114"/>
      <c r="AL3" s="114"/>
      <c r="AM3" s="114"/>
      <c r="AN3" s="114"/>
      <c r="AO3" s="115"/>
      <c r="AP3" s="115"/>
      <c r="AQ3" s="115"/>
      <c r="AR3" s="115"/>
      <c r="AS3" s="115"/>
      <c r="AT3" s="115"/>
      <c r="AU3" s="115"/>
      <c r="AV3" s="115"/>
      <c r="AW3" s="115"/>
      <c r="AX3" s="115"/>
      <c r="AY3" s="115"/>
      <c r="AZ3" s="115"/>
      <c r="BA3" s="115"/>
      <c r="BB3" s="115"/>
      <c r="BC3" s="190"/>
      <c r="BD3" s="115"/>
      <c r="BE3" s="114"/>
      <c r="BF3" s="114"/>
      <c r="BG3" s="114"/>
      <c r="BH3" s="114"/>
      <c r="BI3" s="114"/>
      <c r="BJ3" s="114"/>
      <c r="BK3" s="114"/>
      <c r="BL3" s="114"/>
      <c r="BM3" s="114"/>
      <c r="BN3" s="114"/>
      <c r="BO3" s="114"/>
      <c r="BP3" s="114"/>
      <c r="BQ3" s="114"/>
      <c r="BR3" s="114"/>
      <c r="BS3" s="114"/>
      <c r="BT3" s="114" t="e">
        <f>#REF!</f>
        <v>#REF!</v>
      </c>
      <c r="BU3" s="114" t="e">
        <f>#REF!</f>
        <v>#REF!</v>
      </c>
      <c r="BV3" s="114"/>
      <c r="BW3" s="114"/>
      <c r="BX3" s="114"/>
      <c r="BY3" s="114"/>
      <c r="BZ3" s="117"/>
      <c r="CA3" s="118"/>
      <c r="CB3" s="117"/>
      <c r="CC3" s="117"/>
      <c r="CD3" s="117"/>
      <c r="CE3" s="117"/>
      <c r="CF3" s="117"/>
      <c r="CG3" s="117"/>
      <c r="CH3" s="114"/>
      <c r="CI3" s="117"/>
      <c r="CJ3" s="117"/>
      <c r="CK3" s="1"/>
      <c r="CL3" s="1"/>
      <c r="CM3" s="106"/>
      <c r="CN3" s="1"/>
      <c r="CO3" s="1"/>
      <c r="CP3" s="1"/>
      <c r="CQ3" s="1"/>
      <c r="CR3" s="1"/>
      <c r="CS3" s="1"/>
      <c r="CU3" s="25"/>
      <c r="CV3" s="107"/>
      <c r="CW3" s="114"/>
      <c r="DC3" s="19"/>
      <c r="DL3" s="13"/>
    </row>
    <row r="4" spans="1:116" ht="12" hidden="1" customHeight="1">
      <c r="A4" s="119" t="str">
        <f>"=ABBV"</f>
        <v>=ABBV</v>
      </c>
      <c r="B4" s="120"/>
      <c r="C4" s="120"/>
      <c r="D4" s="120"/>
      <c r="E4" s="120"/>
      <c r="F4" s="121"/>
      <c r="G4" s="122"/>
      <c r="H4" s="123"/>
      <c r="I4" s="124"/>
      <c r="J4" s="122"/>
      <c r="K4" s="123"/>
      <c r="L4" s="124"/>
      <c r="M4" s="124"/>
      <c r="N4" s="124"/>
      <c r="O4" s="124"/>
      <c r="P4" s="124"/>
      <c r="Q4" s="124"/>
      <c r="R4" s="125"/>
      <c r="S4" s="126"/>
      <c r="T4" s="127"/>
      <c r="U4" s="128"/>
      <c r="V4" s="156"/>
      <c r="W4" s="128"/>
      <c r="X4" s="128"/>
      <c r="Y4" s="128"/>
      <c r="Z4" s="128"/>
      <c r="AA4" s="128"/>
      <c r="AB4" s="128"/>
      <c r="AC4" s="121"/>
      <c r="AD4" s="121"/>
      <c r="AE4" s="121"/>
      <c r="AF4" s="121"/>
      <c r="AG4" s="121"/>
      <c r="AH4" s="121"/>
      <c r="AI4" s="121"/>
      <c r="AJ4" s="128"/>
      <c r="AK4" s="128"/>
      <c r="AL4" s="128"/>
      <c r="AM4" s="128"/>
      <c r="AN4" s="128"/>
      <c r="AO4" s="121"/>
      <c r="AP4" s="121"/>
      <c r="AQ4" s="121"/>
      <c r="AR4" s="121"/>
      <c r="AS4" s="121"/>
      <c r="AT4" s="121"/>
      <c r="AU4" s="121"/>
      <c r="AV4" s="121"/>
      <c r="AW4" s="121"/>
      <c r="AX4" s="121"/>
      <c r="AY4" s="121"/>
      <c r="AZ4" s="121"/>
      <c r="BA4" s="121"/>
      <c r="BB4" s="121"/>
      <c r="BC4" s="124"/>
      <c r="BD4" s="121"/>
      <c r="BE4" s="128"/>
      <c r="BF4" s="128"/>
      <c r="BG4" s="128"/>
      <c r="BH4" s="128"/>
      <c r="BI4" s="128"/>
      <c r="BJ4" s="128"/>
      <c r="BK4" s="128"/>
      <c r="BL4" s="128"/>
      <c r="BM4" s="128"/>
      <c r="BN4" s="128"/>
      <c r="BO4" s="128"/>
      <c r="BP4" s="128"/>
      <c r="BQ4" s="128"/>
      <c r="BR4" s="128"/>
      <c r="BS4" s="128"/>
      <c r="BT4" s="123"/>
      <c r="BU4" s="129"/>
      <c r="BV4" s="129"/>
      <c r="BW4" s="129"/>
      <c r="BX4" s="129"/>
      <c r="BY4" s="129"/>
      <c r="BZ4" s="130"/>
      <c r="CA4" s="131"/>
      <c r="CB4" s="130"/>
      <c r="CC4" s="130"/>
      <c r="CD4" s="130"/>
      <c r="CE4" s="130"/>
      <c r="CF4" s="130"/>
      <c r="CG4" s="130"/>
      <c r="CH4" s="129"/>
      <c r="CI4" s="130"/>
      <c r="CJ4" s="130"/>
      <c r="CK4" s="1"/>
      <c r="CL4" s="1"/>
      <c r="CM4" s="106"/>
      <c r="CN4" s="1"/>
      <c r="CO4" s="1"/>
      <c r="CP4" s="1"/>
      <c r="CQ4" s="1"/>
      <c r="CR4" s="1"/>
      <c r="CS4" s="1"/>
      <c r="CU4" s="25"/>
      <c r="CV4" s="107"/>
      <c r="CW4" s="120"/>
      <c r="DC4" s="19"/>
      <c r="DL4" s="13"/>
    </row>
    <row r="5" spans="1:116">
      <c r="A5" s="197">
        <f ca="1">TODAY()</f>
        <v>46257</v>
      </c>
      <c r="B5" s="102"/>
      <c r="C5" s="102"/>
      <c r="D5" s="102"/>
      <c r="E5" s="102"/>
      <c r="F5" s="103"/>
      <c r="G5" s="104"/>
      <c r="H5" s="110"/>
      <c r="I5" s="111"/>
      <c r="J5" s="112"/>
      <c r="L5" s="113"/>
      <c r="M5" s="113"/>
      <c r="N5" s="113"/>
      <c r="O5" s="113"/>
      <c r="P5" s="113"/>
      <c r="Q5" s="113"/>
      <c r="R5" s="37"/>
      <c r="S5" s="37"/>
      <c r="T5" s="105"/>
      <c r="U5" s="37"/>
      <c r="V5" s="154"/>
      <c r="W5" s="37"/>
      <c r="X5" s="37"/>
      <c r="Y5" s="37"/>
      <c r="Z5" s="37"/>
      <c r="AA5" s="37"/>
      <c r="AB5" s="37"/>
      <c r="AC5" s="103"/>
      <c r="AD5" s="103"/>
      <c r="AE5" s="103"/>
      <c r="AF5" s="103"/>
      <c r="AG5" s="103"/>
      <c r="AH5" s="102" t="s">
        <v>243</v>
      </c>
      <c r="AI5" s="103"/>
      <c r="AJ5" s="37"/>
      <c r="AK5" s="37"/>
      <c r="AL5" s="37"/>
      <c r="AM5" s="37"/>
      <c r="AN5" s="37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25"/>
      <c r="BD5" s="103"/>
      <c r="BE5" s="37"/>
      <c r="BF5" s="37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25"/>
      <c r="BU5" s="1"/>
      <c r="BV5" s="1"/>
      <c r="BW5" s="1"/>
      <c r="BX5" s="1"/>
      <c r="BY5" s="1"/>
      <c r="BZ5" s="1"/>
      <c r="CA5" s="106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06"/>
      <c r="CN5" s="1"/>
      <c r="CO5" s="1"/>
      <c r="CP5" s="1"/>
      <c r="CQ5" s="1"/>
      <c r="CR5" s="1"/>
      <c r="CS5" s="1"/>
      <c r="CU5" s="25"/>
      <c r="CV5" s="107"/>
      <c r="CW5" s="102"/>
      <c r="DC5" s="19"/>
      <c r="DL5" s="13"/>
    </row>
    <row r="6" spans="1:116" s="22" customFormat="1" ht="33.75">
      <c r="A6" s="21"/>
      <c r="B6" s="132"/>
      <c r="C6" s="21"/>
      <c r="D6" s="21"/>
      <c r="E6" s="21"/>
      <c r="F6" s="132"/>
      <c r="G6" s="21"/>
      <c r="H6" s="21"/>
      <c r="I6" s="21"/>
      <c r="J6" s="21"/>
      <c r="K6" s="21"/>
      <c r="L6" s="21"/>
      <c r="M6" s="21" t="s">
        <v>4</v>
      </c>
      <c r="N6" s="21"/>
      <c r="O6" s="21"/>
      <c r="P6" s="21"/>
      <c r="R6" s="21"/>
      <c r="S6" s="21"/>
      <c r="T6" s="133"/>
      <c r="U6" s="132"/>
      <c r="V6" s="157"/>
      <c r="W6" s="132"/>
      <c r="X6" s="132"/>
      <c r="Y6" s="132"/>
      <c r="Z6" s="21" t="s">
        <v>224</v>
      </c>
      <c r="AA6" s="132"/>
      <c r="AB6" s="21"/>
      <c r="AC6" s="132"/>
      <c r="AD6" s="132"/>
      <c r="AE6" s="132"/>
      <c r="AF6" s="132"/>
      <c r="AG6" s="132"/>
      <c r="AI6" s="132"/>
      <c r="AJ6" s="132"/>
      <c r="AK6" s="132"/>
      <c r="AL6" s="132"/>
      <c r="AM6" s="132"/>
      <c r="AN6" s="21" t="s">
        <v>225</v>
      </c>
      <c r="AP6" s="132"/>
      <c r="AQ6" s="132"/>
      <c r="AR6" s="132"/>
      <c r="AS6" s="132"/>
      <c r="AT6" s="21" t="s">
        <v>226</v>
      </c>
      <c r="AU6" s="132"/>
      <c r="AV6" s="132"/>
      <c r="AW6" s="132"/>
      <c r="AX6" s="132"/>
      <c r="AY6" s="21" t="s">
        <v>238</v>
      </c>
      <c r="AZ6" s="132"/>
      <c r="BA6" s="132"/>
      <c r="BB6" s="132"/>
      <c r="BC6" s="191"/>
      <c r="BD6" s="132"/>
      <c r="BE6" s="21"/>
      <c r="BF6" s="21"/>
      <c r="BG6" s="21"/>
      <c r="BH6" s="21"/>
      <c r="BI6" s="21" t="s">
        <v>223</v>
      </c>
      <c r="BJ6" s="21"/>
      <c r="BK6" s="21"/>
      <c r="BL6" s="21"/>
      <c r="BM6" s="21"/>
      <c r="BN6" s="21"/>
      <c r="BO6" s="21"/>
      <c r="BP6" s="21"/>
      <c r="BQ6" s="21" t="s">
        <v>5</v>
      </c>
      <c r="BR6" s="21"/>
      <c r="BS6" s="132"/>
      <c r="BT6" s="21"/>
      <c r="BU6" s="132"/>
      <c r="BV6" s="132"/>
      <c r="BW6" s="21"/>
      <c r="BX6" s="21"/>
      <c r="BY6" s="132"/>
      <c r="BZ6" s="132"/>
      <c r="CA6" s="134"/>
      <c r="CB6" s="132"/>
      <c r="CC6" s="132"/>
      <c r="CD6" s="21"/>
      <c r="CE6" s="132"/>
      <c r="CF6" s="132"/>
      <c r="CG6" s="132"/>
      <c r="CH6" s="21" t="s">
        <v>6</v>
      </c>
      <c r="CI6" s="132"/>
      <c r="CJ6" s="132"/>
      <c r="CK6" s="93"/>
      <c r="CL6" s="21"/>
      <c r="CM6" s="45"/>
      <c r="CN6" s="21"/>
      <c r="CO6" s="21"/>
      <c r="CP6" s="21"/>
      <c r="CQ6" s="21"/>
      <c r="CR6" s="21"/>
      <c r="CS6" s="21"/>
      <c r="CT6" s="21" t="s">
        <v>7</v>
      </c>
      <c r="CU6" s="21"/>
      <c r="CW6" s="21"/>
    </row>
    <row r="7" spans="1:116" s="22" customFormat="1" ht="46.5" customHeight="1">
      <c r="A7" s="42" t="s">
        <v>8</v>
      </c>
      <c r="B7" s="42" t="s">
        <v>9</v>
      </c>
      <c r="C7" s="42" t="s">
        <v>10</v>
      </c>
      <c r="D7" s="42" t="s">
        <v>11</v>
      </c>
      <c r="E7" s="42" t="s">
        <v>12</v>
      </c>
      <c r="F7" s="39" t="s">
        <v>13</v>
      </c>
      <c r="G7" s="43" t="s">
        <v>14</v>
      </c>
      <c r="H7" s="76" t="s">
        <v>2</v>
      </c>
      <c r="I7" s="76" t="s">
        <v>15</v>
      </c>
      <c r="J7" s="43" t="s">
        <v>16</v>
      </c>
      <c r="K7" s="76" t="s">
        <v>3</v>
      </c>
      <c r="L7" s="76" t="s">
        <v>17</v>
      </c>
      <c r="M7" s="76" t="s">
        <v>18</v>
      </c>
      <c r="N7" s="76" t="s">
        <v>231</v>
      </c>
      <c r="O7" s="76" t="s">
        <v>232</v>
      </c>
      <c r="P7" s="76" t="s">
        <v>217</v>
      </c>
      <c r="Q7" s="76" t="s">
        <v>216</v>
      </c>
      <c r="R7" s="135" t="s">
        <v>19</v>
      </c>
      <c r="S7" s="42" t="s">
        <v>20</v>
      </c>
      <c r="T7" s="79" t="s">
        <v>22</v>
      </c>
      <c r="U7" s="79" t="s">
        <v>23</v>
      </c>
      <c r="V7" s="79" t="s">
        <v>24</v>
      </c>
      <c r="W7" s="79" t="s">
        <v>25</v>
      </c>
      <c r="X7" s="79" t="s">
        <v>26</v>
      </c>
      <c r="Y7" s="79" t="s">
        <v>27</v>
      </c>
      <c r="Z7" s="79" t="s">
        <v>28</v>
      </c>
      <c r="AA7" s="79" t="s">
        <v>29</v>
      </c>
      <c r="AB7" s="79" t="s">
        <v>30</v>
      </c>
      <c r="AC7" s="79" t="s">
        <v>21</v>
      </c>
      <c r="AD7" s="79" t="s">
        <v>178</v>
      </c>
      <c r="AE7" s="79" t="s">
        <v>177</v>
      </c>
      <c r="AF7" s="79" t="s">
        <v>202</v>
      </c>
      <c r="AG7" s="79" t="s">
        <v>219</v>
      </c>
      <c r="AH7" s="79" t="s">
        <v>242</v>
      </c>
      <c r="AI7" s="79" t="s">
        <v>184</v>
      </c>
      <c r="AJ7" s="79" t="s">
        <v>199</v>
      </c>
      <c r="AK7" s="79" t="s">
        <v>204</v>
      </c>
      <c r="AL7" s="79" t="s">
        <v>206</v>
      </c>
      <c r="AM7" s="79" t="s">
        <v>203</v>
      </c>
      <c r="AN7" s="79" t="s">
        <v>440</v>
      </c>
      <c r="AO7" s="79" t="s">
        <v>207</v>
      </c>
      <c r="AP7" s="79" t="s">
        <v>212</v>
      </c>
      <c r="AQ7" s="79" t="s">
        <v>218</v>
      </c>
      <c r="AR7" s="79" t="s">
        <v>213</v>
      </c>
      <c r="AS7" s="79" t="s">
        <v>237</v>
      </c>
      <c r="AT7" s="79" t="s">
        <v>208</v>
      </c>
      <c r="AU7" s="79" t="s">
        <v>198</v>
      </c>
      <c r="AV7" s="79" t="s">
        <v>209</v>
      </c>
      <c r="AW7" s="79" t="s">
        <v>210</v>
      </c>
      <c r="AX7" s="79" t="s">
        <v>211</v>
      </c>
      <c r="AY7" s="79" t="s">
        <v>197</v>
      </c>
      <c r="AZ7" s="79" t="s">
        <v>190</v>
      </c>
      <c r="BA7" s="79" t="s">
        <v>191</v>
      </c>
      <c r="BB7" s="79" t="s">
        <v>189</v>
      </c>
      <c r="BC7" s="192" t="s">
        <v>259</v>
      </c>
      <c r="BD7" s="79" t="s">
        <v>235</v>
      </c>
      <c r="BE7" s="79" t="s">
        <v>221</v>
      </c>
      <c r="BF7" s="79" t="s">
        <v>222</v>
      </c>
      <c r="BG7" s="79" t="s">
        <v>227</v>
      </c>
      <c r="BH7" s="79" t="s">
        <v>228</v>
      </c>
      <c r="BI7" s="79" t="s">
        <v>229</v>
      </c>
      <c r="BJ7" s="79" t="s">
        <v>220</v>
      </c>
      <c r="BK7" s="79" t="s">
        <v>205</v>
      </c>
      <c r="BL7" s="79" t="s">
        <v>215</v>
      </c>
      <c r="BM7" s="79" t="s">
        <v>214</v>
      </c>
      <c r="BN7" s="79" t="s">
        <v>239</v>
      </c>
      <c r="BO7" s="79" t="s">
        <v>240</v>
      </c>
      <c r="BP7" s="79" t="s">
        <v>249</v>
      </c>
      <c r="BQ7" s="42" t="s">
        <v>90</v>
      </c>
      <c r="BR7" s="42" t="s">
        <v>236</v>
      </c>
      <c r="BS7" s="42" t="s">
        <v>185</v>
      </c>
      <c r="BT7" s="90" t="s">
        <v>31</v>
      </c>
      <c r="BU7" s="41" t="s">
        <v>32</v>
      </c>
      <c r="BV7" s="41" t="s">
        <v>33</v>
      </c>
      <c r="BW7" s="41" t="s">
        <v>34</v>
      </c>
      <c r="BX7" s="44" t="s">
        <v>35</v>
      </c>
      <c r="BY7" s="41" t="s">
        <v>36</v>
      </c>
      <c r="BZ7" s="41" t="s">
        <v>37</v>
      </c>
      <c r="CA7" s="46" t="s">
        <v>38</v>
      </c>
      <c r="CB7" s="41" t="s">
        <v>39</v>
      </c>
      <c r="CC7" s="41" t="s">
        <v>40</v>
      </c>
      <c r="CD7" s="41" t="s">
        <v>41</v>
      </c>
      <c r="CE7" s="41" t="s">
        <v>42</v>
      </c>
      <c r="CF7" s="41" t="s">
        <v>43</v>
      </c>
      <c r="CG7" s="41" t="s">
        <v>44</v>
      </c>
      <c r="CH7" s="41" t="s">
        <v>45</v>
      </c>
      <c r="CI7" s="41" t="s">
        <v>46</v>
      </c>
      <c r="CJ7" s="41" t="s">
        <v>47</v>
      </c>
      <c r="CK7" s="94" t="s">
        <v>48</v>
      </c>
      <c r="CL7" s="89" t="s">
        <v>49</v>
      </c>
      <c r="CM7" s="46" t="s">
        <v>50</v>
      </c>
      <c r="CN7" s="41" t="s">
        <v>51</v>
      </c>
      <c r="CO7" s="41" t="s">
        <v>52</v>
      </c>
      <c r="CP7" s="41" t="s">
        <v>53</v>
      </c>
      <c r="CQ7" s="41" t="s">
        <v>54</v>
      </c>
      <c r="CR7" s="41" t="s">
        <v>55</v>
      </c>
      <c r="CS7" s="41" t="s">
        <v>56</v>
      </c>
      <c r="CT7" s="41" t="s">
        <v>57</v>
      </c>
      <c r="CU7" s="92" t="s">
        <v>58</v>
      </c>
      <c r="CV7" s="92" t="s">
        <v>59</v>
      </c>
      <c r="CW7" s="132"/>
    </row>
    <row r="8" spans="1:116" ht="12.75" customHeight="1">
      <c r="A8" s="69" t="s">
        <v>94</v>
      </c>
      <c r="B8" s="189" t="s">
        <v>78</v>
      </c>
      <c r="C8" s="88">
        <v>1</v>
      </c>
      <c r="D8" s="70">
        <v>26</v>
      </c>
      <c r="E8" s="1" t="str">
        <f>CONCATENATE(CagrTable[[#This Row],[Symbol]], CagrTable[[#This Row],[ID]])</f>
        <v>AMZN26</v>
      </c>
      <c r="F8" s="55" t="s">
        <v>61</v>
      </c>
      <c r="G8" s="56">
        <v>46190.666666666664</v>
      </c>
      <c r="H8" s="58">
        <v>0</v>
      </c>
      <c r="I8" s="57">
        <f>IF(ISNUMBER(CagrTable[[#This Row],[Qty]]),CagrTable[[#This Row],[Basis]] /CagrTable[[#This Row],[Qty]], "")</f>
        <v>0</v>
      </c>
      <c r="J8" s="56">
        <v>46134.552708333336</v>
      </c>
      <c r="K8" s="58">
        <v>1184.33</v>
      </c>
      <c r="L8" s="78">
        <f>IF(ISNUMBER(CagrTable[[#This Row],[Qty]]),CagrTable[[#This Row],[Proceeds]] / CagrTable[[#This Row],[Qty]], "")</f>
        <v>1184.33</v>
      </c>
      <c r="M8" s="77">
        <f>IF(CagrTable[[#This Row],[Is Open]], CagrTable[[#This Row],[Date Opened]], CagrTable[[#This Row],[Date Closed]])</f>
        <v>46190.666666666664</v>
      </c>
      <c r="N8" s="101"/>
      <c r="O8"/>
      <c r="P8" s="177"/>
      <c r="Q8" s="176"/>
      <c r="R8" s="71">
        <f>IF(CagrTable[[#This Row],[Sell Date]]=CagrTable[[#This Row],[Acquire Date]], 1, ABS(CagrTable[[#This Row],[Sell Date]] - CagrTable[[#This Row],[Acquire Date]]))</f>
        <v>56.113958333327901</v>
      </c>
      <c r="S8" s="72">
        <f>CagrTable[[#This Row],[Days Held]] / 30</f>
        <v>1.8704652777775967</v>
      </c>
      <c r="T8" s="178">
        <v>0.67</v>
      </c>
      <c r="U8" s="179"/>
      <c r="V8" s="158">
        <v>46191.729166666664</v>
      </c>
      <c r="W8" s="60">
        <v>250</v>
      </c>
      <c r="X8" s="75" t="s">
        <v>83</v>
      </c>
      <c r="Y8" s="61" t="s">
        <v>316</v>
      </c>
      <c r="Z8" s="85" t="str">
        <f>IF(OR(CagrTable[[#This Row],[Is Closed]]="", CagrTable[[#This Row],[Is Closed]]="H"),"Y","")</f>
        <v/>
      </c>
      <c r="AA8" s="85" t="str">
        <f>IF(OR(CagrTable[[#This Row],[Position]]="LNG",CagrTable[[#This Row],[Position]]="SHRT"),"Equity","Option")</f>
        <v>Option</v>
      </c>
      <c r="AB8" s="84" t="str">
        <f>IF(CagrTable[[#This Row],[Pricing Update Included]]="Y",IF(CagrTable[[#This Row],[Pricing Update Asset]]="Equity",CagrTable[[#This Row],[Symbol]],CagrTable[[#This Row],[Option Symbol]]),"")</f>
        <v/>
      </c>
      <c r="AC8" s="80">
        <f>SUBTOTAL(103,CagrTable[[#This Row],[Symbol]])</f>
        <v>1</v>
      </c>
      <c r="AD8" s="80" t="b">
        <f>LEFT(CagrTable[[#This Row],[Position]],1)="L"</f>
        <v>0</v>
      </c>
      <c r="AE8" s="80" t="b">
        <f>LEFT(CagrTable[[#This Row],[Position]],1)="S"</f>
        <v>1</v>
      </c>
      <c r="AF8" s="80" t="b">
        <f>(CagrTable[[#This Row],[Position]] = "DIV")</f>
        <v>0</v>
      </c>
      <c r="AG8" s="80" t="b">
        <f>CagrTable[[#This Row],[Position]] = "PLUG"</f>
        <v>0</v>
      </c>
      <c r="AH8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0</v>
      </c>
      <c r="AI8" s="80" t="b">
        <f>CagrTable[[#This Row],[Is Closed]] &lt;&gt; "Y"</f>
        <v>0</v>
      </c>
      <c r="AJ8" s="84" t="b">
        <f>OR(CagrTable[[#This Row],[Option Type]]&lt;&gt;"",
  CagrTable[[#This Row],[Position]]="LC", CagrTable[[#This Row],[Position]]="SC",
  CagrTable[[#This Row],[Position]]="LP",CagrTable[[#This Row],[Position]]="SP"
)</f>
        <v>1</v>
      </c>
      <c r="AK8" s="84" t="b">
        <f>AND(CagrTable[[#This Row],[Option Type]] = "C", CagrTable[[#This Row],[Is Short]])</f>
        <v>0</v>
      </c>
      <c r="AL8" s="84" t="b">
        <f>AND(CagrTable[[#This Row],[Is Short Call]],CagrTable[[#This Row],[Is Naked Call]] = TRUE)</f>
        <v>0</v>
      </c>
      <c r="AM8" s="84" t="b">
        <f>AND(CagrTable[[#This Row],[Option Type]] = "P", CagrTable[[#This Row],[Is Short]])</f>
        <v>1</v>
      </c>
      <c r="AN8" s="84" t="b">
        <f>CagrTable[[#This Row],[Position]]= "LC"</f>
        <v>0</v>
      </c>
      <c r="AO8" s="169">
        <f>IF(AND(CagrTable[[#This Row],[Is Long]], NOT(CagrTable[[#This Row],[Position]]="LP")), CagrTable[[#This Row],[Qty]] * IF(CagrTable[[#This Row],[Is Option]], 100, 1), 0)</f>
        <v>0</v>
      </c>
      <c r="AP8" s="169">
        <f>IF(CagrTable[[#This Row],[Is Naked Short]], CagrTable[[#This Row],[Qty]] * -100, 0)</f>
        <v>0</v>
      </c>
      <c r="AQ8" s="169">
        <f>IF(CagrTable[[#This Row],[Is ACB Put]], CagrTable[[#This Row],[Qty]] * -100, 0)</f>
        <v>0</v>
      </c>
      <c r="AR8" s="169">
        <f>IF(AND(CagrTable[[#This Row],[Is Short]], NOT(CagrTable[[#This Row],[Is Naked Short]])), CagrTable[[#This Row],[Qty]] * IF(CagrTable[[#This Row],[Is Option]], 100, 1), 0)</f>
        <v>100</v>
      </c>
      <c r="AS8" s="169">
        <f>SUM(CagrTable[[#This Row],[Long Share Equivalent]:[Covered Short Share Equivalent]])</f>
        <v>100</v>
      </c>
      <c r="AT8" s="169">
        <f>IF(CagrTable[[#This Row],[Is Open]], SUM(CagrTable[[#This Row],[Long Share Equivalent]:[ACB Put Share Equivalent]]), 0)</f>
        <v>0</v>
      </c>
      <c r="AU8" s="166">
        <f>IF(OR(CagrTable[[#This Row],[Is Long]], CagrTable[[#This Row],[Is DIV]]), CagrTable[[#This Row],[Acquire Date]], CagrTable[[#This Row],[Sell Date]])</f>
        <v>46134.552708333336</v>
      </c>
      <c r="AV8" s="166" t="str">
        <f>IF(NOT(CagrTable[[#This Row],[Is Option]]), IF(OR(CagrTable[[#This Row],[Is Long]], CagrTable[[#This Row],[Is DIV]]), CagrTable[[#This Row],[Sell Date]], CagrTable[[#This Row],[Acquire Date]]), "")</f>
        <v/>
      </c>
      <c r="AW8" s="166" t="str">
        <f>IF(AND(CagrTable[[#This Row],[Is Option]], CagrTable[[#This Row],[Is Open]]), IF(CagrTable[[#This Row],[Is Long Call]], CagrTable[[#This Row],[Exp Date]], MIN(MockToday, CagrTable[[#This Row],[Exp Date]])), "")</f>
        <v/>
      </c>
      <c r="AX8" s="166">
        <f>IF(AND(CagrTable[[#This Row],[Is Option]], NOT(CagrTable[[#This Row],[Is Open]])), IF(CagrTable[[#This Row],[Is Long]], CagrTable[[#This Row],[Sell Date]], CagrTable[[#This Row],[Acquire Date]]), "")</f>
        <v>46190.666666666664</v>
      </c>
      <c r="AY8" s="166" cm="1">
        <f t="array" ref="AY8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46190.666666666664</v>
      </c>
      <c r="AZ8" s="80" t="b">
        <f>IF(AND(CagrTable[[#This Row],[Visible]], CagrTable[[#This Row],[Is Open]]), OR(CagrTable[[#This Row],[Is Long]], AND(CagrTable[[#This Row],[Is Short]], CagrTable[[#This Row],[Is Naked Call]])), FALSE)</f>
        <v>0</v>
      </c>
      <c r="BA8" s="80" t="b">
        <f>AND(CagrTable[[#This Row],[Visible]], OR(NOT(CagrTable[[#This Row],[Is PLUG]]), CagrTable[[#This Row],[Plug Type]] = "MTM"))</f>
        <v>1</v>
      </c>
      <c r="BB8" s="80" t="b">
        <f>AND(CagrTable[[#This Row],[Visible]],NOT(CagrTable[[#This Row],[Is Open]]),NOT(CagrTable[[#This Row],[Plug Type]] = "MC"),CagrTable[[#This Row],[Position]]&lt;&gt;"DIV")</f>
        <v>1</v>
      </c>
      <c r="BC8" s="193">
        <f>IF(AND(CagrTable[[#This Row],[Visible]], CagrTable[[#This Row],[Plug Type]] = "MC"), CagrTable[[#This Row],[Basis]], 0)</f>
        <v>0</v>
      </c>
      <c r="BD8" s="182">
        <f>IF(CagrTable[[#This Row],[Is PLUG]], 0, CagrTable[[#This Row],[Proceeds]] - CagrTable[[#This Row],[Basis]])</f>
        <v>1184.33</v>
      </c>
      <c r="BE8" s="180">
        <f>IF(AND(OR(CagrTable[[#This Row],[Is Short Call]],CagrTable[[#This Row],[Is Short Put]])), CagrTable[[#This Row],[Proceeds]], 0)</f>
        <v>1184.33</v>
      </c>
      <c r="BF8" s="180">
        <f>IF(AND(OR(CagrTable[[#This Row],[Is Short Call]],CagrTable[[#This Row],[Is Short Put]])), CagrTable[[#This Row],[Basis]], 0)</f>
        <v>0</v>
      </c>
      <c r="BG8" s="173">
        <f>IF(CagrTable[[#This Row],[Covered Short Share Equivalent]] &gt; 0,-1 * CagrTable[[#This Row],[Premium Input]] / CagrTable[[#This Row],[Covered Short Share Equivalent]], 0)</f>
        <v>-11.843299999999999</v>
      </c>
      <c r="BH8" s="173">
        <f>IF(CagrTable[[#This Row],[Covered Short Share Equivalent]] &gt; 0, CagrTable[[#This Row],[Premium Offset Input]] / CagrTable[[#This Row],[Covered Short Share Equivalent]], 0)</f>
        <v>0</v>
      </c>
      <c r="BI8" s="173">
        <f>SUM(CagrTable[[#This Row],[Premium ACB]:[Premium Offset ACB]])</f>
        <v>-11.843299999999999</v>
      </c>
      <c r="BJ8" s="173">
        <f>IF(CagrTable[[#This Row],[Is Naked Short]],-1 * CagrTable[[#This Row],[Strike Price]] - (CagrTable[[#This Row],[Proceeds]] / CagrTable[[#This Row],[Naked Short Share Equivalent]]), 0)</f>
        <v>0</v>
      </c>
      <c r="BK8" s="173">
        <f>IF(CagrTable[[#This Row],[Is Short Put]], CagrTable[[#This Row],[Strike Price]] + CagrTable[[#This Row],[Net Short Premium ACB]], 0)</f>
        <v>238.1567</v>
      </c>
      <c r="BL8" s="173">
        <f>IF(AND(CagrTable[[#This Row],[Is Long Call]], NOT(CagrTable[[#This Row],[Is PLUG]])), -1 * CagrTable[[#This Row],[P&amp;L]]/(CagrTable[[#This Row],[Qty]] * 100), 0)</f>
        <v>0</v>
      </c>
      <c r="BM8" s="173">
        <f>IF(AND(NOT(CagrTable[[#This Row],[Is Option]]), NOT(CagrTable[[#This Row],[Is PLUG]]), CagrTable[[#This Row],[Is Open]]), -CagrTable[[#This Row],[P&amp;L]]/CagrTable[[#This Row],[Qty]], 0)</f>
        <v>0</v>
      </c>
      <c r="BN8" s="173" t="b">
        <f>AND(_Total_ACB_Shares&lt;&gt;0, NOT(CagrTable[[#This Row],[Is PLUG]]))</f>
        <v>0</v>
      </c>
      <c r="BO8" s="173">
        <f>IF(OR(_Total_ACB_Shares=0, CagrTable[[#This Row],[Is PLUG]]), 0, (CagrTable[[#This Row],[ACB]] * CagrTable[[#This Row],[Qty]] * IF(CagrTable[[#This Row],[Is Option]], 100, 1))/ _Total_ACB_Shares)</f>
        <v>0</v>
      </c>
      <c r="BP8" s="184">
        <f>IF(_Total_ACB_Shares &lt; 0, -1, 1)</f>
        <v>1</v>
      </c>
      <c r="BQ8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-11.843299999999999</v>
      </c>
      <c r="BR8" s="174">
        <f>CagrTable[[#This Row],[Prelim Weighted ACB]] * CagrTable[[#This Row],[ACB Sign]]</f>
        <v>0</v>
      </c>
      <c r="BS8" s="62">
        <f>CagrTable[[#This Row],[Proceeds]] - CagrTable[[#This Row],[Basis]]</f>
        <v>1184.33</v>
      </c>
      <c r="BT8" s="91" t="s">
        <v>79</v>
      </c>
      <c r="BU8" s="63" t="s">
        <v>62</v>
      </c>
      <c r="BV8" s="63" t="s">
        <v>81</v>
      </c>
      <c r="BW8" s="63" t="s">
        <v>89</v>
      </c>
      <c r="BX8" s="27"/>
      <c r="BY8" s="58">
        <v>253.6</v>
      </c>
      <c r="BZ8" s="58">
        <v>11.85</v>
      </c>
      <c r="CA8" s="100">
        <v>46134.552708333336</v>
      </c>
      <c r="CB8" s="58">
        <v>13.15</v>
      </c>
      <c r="CC8" s="58">
        <v>11.2</v>
      </c>
      <c r="CD8" s="65">
        <v>33</v>
      </c>
      <c r="CE8" s="83"/>
      <c r="CF8" s="66" t="s">
        <v>73</v>
      </c>
      <c r="CG8" s="58"/>
      <c r="CH8" s="66" t="s">
        <v>314</v>
      </c>
      <c r="CI8" s="66" t="s">
        <v>65</v>
      </c>
      <c r="CJ8" s="66"/>
      <c r="CK8" s="58">
        <v>237.5</v>
      </c>
      <c r="CL8" s="58">
        <v>0</v>
      </c>
      <c r="CM8" s="64">
        <v>46190.666666666664</v>
      </c>
      <c r="CN8" s="58">
        <v>0</v>
      </c>
      <c r="CO8" s="58">
        <v>0</v>
      </c>
      <c r="CP8" s="67">
        <v>0</v>
      </c>
      <c r="CQ8" s="82"/>
      <c r="CR8" s="58"/>
      <c r="CS8" s="58"/>
      <c r="CT8" s="66" t="s">
        <v>66</v>
      </c>
      <c r="CU8" s="73"/>
      <c r="CV8" s="181" t="s">
        <v>315</v>
      </c>
      <c r="CW8" s="1"/>
      <c r="DC8" s="19"/>
      <c r="DL8" s="13"/>
    </row>
    <row r="9" spans="1:116" ht="12.75" customHeight="1">
      <c r="A9" s="69" t="s">
        <v>94</v>
      </c>
      <c r="B9" s="189" t="s">
        <v>67</v>
      </c>
      <c r="C9" s="88">
        <v>1</v>
      </c>
      <c r="D9" s="70">
        <v>26</v>
      </c>
      <c r="E9" s="1" t="str">
        <f>CONCATENATE(CagrTable[[#This Row],[Symbol]], CagrTable[[#This Row],[ID]])</f>
        <v>AMZN26</v>
      </c>
      <c r="F9" s="55" t="s">
        <v>61</v>
      </c>
      <c r="G9" s="56">
        <v>46202.430046296293</v>
      </c>
      <c r="H9" s="58">
        <v>680.67</v>
      </c>
      <c r="I9" s="57">
        <f>IF(ISNUMBER(CagrTable[[#This Row],[Qty]]),CagrTable[[#This Row],[Basis]] /CagrTable[[#This Row],[Qty]], "")</f>
        <v>680.67</v>
      </c>
      <c r="J9" s="56">
        <v>46199.659953703704</v>
      </c>
      <c r="K9" s="58">
        <v>105.33</v>
      </c>
      <c r="L9" s="78">
        <f>IF(ISNUMBER(CagrTable[[#This Row],[Qty]]),CagrTable[[#This Row],[Proceeds]] / CagrTable[[#This Row],[Qty]], "")</f>
        <v>105.33</v>
      </c>
      <c r="M9" s="77">
        <f>IF(CagrTable[[#This Row],[Is Open]], CagrTable[[#This Row],[Date Opened]], CagrTable[[#This Row],[Date Closed]])</f>
        <v>46202.430046296293</v>
      </c>
      <c r="N9" s="101"/>
      <c r="O9"/>
      <c r="P9" s="177"/>
      <c r="Q9" s="176"/>
      <c r="R9" s="71">
        <f>IF(CagrTable[[#This Row],[Sell Date]]=CagrTable[[#This Row],[Acquire Date]], 1, ABS(CagrTable[[#This Row],[Sell Date]] - CagrTable[[#This Row],[Acquire Date]]))</f>
        <v>2.7700925925892079</v>
      </c>
      <c r="S9" s="59">
        <f>CagrTable[[#This Row],[Days Held]] / 30</f>
        <v>9.2336419752973603E-2</v>
      </c>
      <c r="T9" s="178">
        <v>0.67</v>
      </c>
      <c r="U9" s="179">
        <v>0.67</v>
      </c>
      <c r="V9" s="158">
        <v>46205.729166666664</v>
      </c>
      <c r="W9" s="60">
        <v>240</v>
      </c>
      <c r="X9" s="75" t="s">
        <v>68</v>
      </c>
      <c r="Y9" s="61" t="s">
        <v>380</v>
      </c>
      <c r="Z9" s="85" t="str">
        <f>IF(OR(CagrTable[[#This Row],[Is Closed]]="", CagrTable[[#This Row],[Is Closed]]="H"),"Y","")</f>
        <v/>
      </c>
      <c r="AA9" s="85" t="str">
        <f>IF(OR(CagrTable[[#This Row],[Position]]="LNG",CagrTable[[#This Row],[Position]]="SHRT"),"Equity","Option")</f>
        <v>Option</v>
      </c>
      <c r="AB9" s="84" t="str">
        <f>IF(CagrTable[[#This Row],[Pricing Update Included]]="Y",IF(CagrTable[[#This Row],[Pricing Update Asset]]="Equity",CagrTable[[#This Row],[Symbol]],CagrTable[[#This Row],[Option Symbol]]),"")</f>
        <v/>
      </c>
      <c r="AC9" s="80">
        <f>SUBTOTAL(103,CagrTable[[#This Row],[Symbol]])</f>
        <v>1</v>
      </c>
      <c r="AD9" s="80" t="b">
        <f>LEFT(CagrTable[[#This Row],[Position]],1)="L"</f>
        <v>0</v>
      </c>
      <c r="AE9" s="80" t="b">
        <f>LEFT(CagrTable[[#This Row],[Position]],1)="S"</f>
        <v>1</v>
      </c>
      <c r="AF9" s="80" t="b">
        <f>(CagrTable[[#This Row],[Position]] = "DIV")</f>
        <v>0</v>
      </c>
      <c r="AG9" s="80" t="b">
        <f>CagrTable[[#This Row],[Position]] = "PLUG"</f>
        <v>0</v>
      </c>
      <c r="AH9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0</v>
      </c>
      <c r="AI9" s="80" t="b">
        <f>CagrTable[[#This Row],[Is Closed]] &lt;&gt; "Y"</f>
        <v>0</v>
      </c>
      <c r="AJ9" s="84" t="b">
        <f>OR(CagrTable[[#This Row],[Option Type]]&lt;&gt;"",
  CagrTable[[#This Row],[Position]]="LC", CagrTable[[#This Row],[Position]]="SC",
  CagrTable[[#This Row],[Position]]="LP",CagrTable[[#This Row],[Position]]="SP"
)</f>
        <v>1</v>
      </c>
      <c r="AK9" s="84" t="b">
        <f>AND(CagrTable[[#This Row],[Option Type]] = "C", CagrTable[[#This Row],[Is Short]])</f>
        <v>1</v>
      </c>
      <c r="AL9" s="84" t="b">
        <f>AND(CagrTable[[#This Row],[Is Short Call]],CagrTable[[#This Row],[Is Naked Call]] = TRUE)</f>
        <v>0</v>
      </c>
      <c r="AM9" s="84" t="b">
        <f>AND(CagrTable[[#This Row],[Option Type]] = "P", CagrTable[[#This Row],[Is Short]])</f>
        <v>0</v>
      </c>
      <c r="AN9" s="84" t="b">
        <f>CagrTable[[#This Row],[Position]]= "LC"</f>
        <v>0</v>
      </c>
      <c r="AO9" s="169">
        <f>IF(AND(CagrTable[[#This Row],[Is Long]], NOT(CagrTable[[#This Row],[Position]]="LP")), CagrTable[[#This Row],[Qty]] * IF(CagrTable[[#This Row],[Is Option]], 100, 1), 0)</f>
        <v>0</v>
      </c>
      <c r="AP9" s="169">
        <f>IF(CagrTable[[#This Row],[Is Naked Short]], CagrTable[[#This Row],[Qty]] * -100, 0)</f>
        <v>0</v>
      </c>
      <c r="AQ9" s="169">
        <f>IF(CagrTable[[#This Row],[Is ACB Put]], CagrTable[[#This Row],[Qty]] * -100, 0)</f>
        <v>0</v>
      </c>
      <c r="AR9" s="169">
        <f>IF(AND(CagrTable[[#This Row],[Is Short]], NOT(CagrTable[[#This Row],[Is Naked Short]])), CagrTable[[#This Row],[Qty]] * IF(CagrTable[[#This Row],[Is Option]], 100, 1), 0)</f>
        <v>100</v>
      </c>
      <c r="AS9" s="169">
        <f>SUM(CagrTable[[#This Row],[Long Share Equivalent]:[Covered Short Share Equivalent]])</f>
        <v>100</v>
      </c>
      <c r="AT9" s="169">
        <f>IF(CagrTable[[#This Row],[Is Open]], SUM(CagrTable[[#This Row],[Long Share Equivalent]:[ACB Put Share Equivalent]]), 0)</f>
        <v>0</v>
      </c>
      <c r="AU9" s="166">
        <f>IF(OR(CagrTable[[#This Row],[Is Long]], CagrTable[[#This Row],[Is DIV]]), CagrTable[[#This Row],[Acquire Date]], CagrTable[[#This Row],[Sell Date]])</f>
        <v>46199.659953703704</v>
      </c>
      <c r="AV9" s="166" t="str">
        <f>IF(NOT(CagrTable[[#This Row],[Is Option]]), IF(OR(CagrTable[[#This Row],[Is Long]], CagrTable[[#This Row],[Is DIV]]), CagrTable[[#This Row],[Sell Date]], CagrTable[[#This Row],[Acquire Date]]), "")</f>
        <v/>
      </c>
      <c r="AW9" s="166" t="str">
        <f>IF(AND(CagrTable[[#This Row],[Is Option]], CagrTable[[#This Row],[Is Open]]), IF(CagrTable[[#This Row],[Is Long Call]], CagrTable[[#This Row],[Exp Date]], MIN(MockToday, CagrTable[[#This Row],[Exp Date]])), "")</f>
        <v/>
      </c>
      <c r="AX9" s="166">
        <f>IF(AND(CagrTable[[#This Row],[Is Option]], NOT(CagrTable[[#This Row],[Is Open]])), IF(CagrTable[[#This Row],[Is Long]], CagrTable[[#This Row],[Sell Date]], CagrTable[[#This Row],[Acquire Date]]), "")</f>
        <v>46202.430046296293</v>
      </c>
      <c r="AY9" s="166" cm="1">
        <f t="array" ref="AY9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46202.430046296293</v>
      </c>
      <c r="AZ9" s="80" t="b">
        <f>IF(AND(CagrTable[[#This Row],[Visible]], CagrTable[[#This Row],[Is Open]]), OR(CagrTable[[#This Row],[Is Long]], AND(CagrTable[[#This Row],[Is Short]], CagrTable[[#This Row],[Is Naked Call]])), FALSE)</f>
        <v>0</v>
      </c>
      <c r="BA9" s="80" t="b">
        <f>AND(CagrTable[[#This Row],[Visible]], OR(NOT(CagrTable[[#This Row],[Is PLUG]]), CagrTable[[#This Row],[Plug Type]] = "MTM"))</f>
        <v>1</v>
      </c>
      <c r="BB9" s="80" t="b">
        <f>AND(CagrTable[[#This Row],[Visible]],NOT(CagrTable[[#This Row],[Is Open]]),NOT(CagrTable[[#This Row],[Plug Type]] = "MC"),CagrTable[[#This Row],[Position]]&lt;&gt;"DIV")</f>
        <v>1</v>
      </c>
      <c r="BC9" s="193">
        <f>IF(AND(CagrTable[[#This Row],[Visible]], CagrTable[[#This Row],[Plug Type]] = "MC"), CagrTable[[#This Row],[Basis]], 0)</f>
        <v>0</v>
      </c>
      <c r="BD9" s="182">
        <f>IF(CagrTable[[#This Row],[Is PLUG]], 0, CagrTable[[#This Row],[Proceeds]] - CagrTable[[#This Row],[Basis]])</f>
        <v>-575.33999999999992</v>
      </c>
      <c r="BE9" s="180">
        <f>IF(AND(OR(CagrTable[[#This Row],[Is Short Call]],CagrTable[[#This Row],[Is Short Put]])), CagrTable[[#This Row],[Proceeds]], 0)</f>
        <v>105.33</v>
      </c>
      <c r="BF9" s="180">
        <f>IF(AND(OR(CagrTable[[#This Row],[Is Short Call]],CagrTable[[#This Row],[Is Short Put]])), CagrTable[[#This Row],[Basis]], 0)</f>
        <v>680.67</v>
      </c>
      <c r="BG9" s="173">
        <f>IF(CagrTable[[#This Row],[Covered Short Share Equivalent]] &gt; 0,-1 * CagrTable[[#This Row],[Premium Input]] / CagrTable[[#This Row],[Covered Short Share Equivalent]], 0)</f>
        <v>-1.0532999999999999</v>
      </c>
      <c r="BH9" s="173">
        <f>IF(CagrTable[[#This Row],[Covered Short Share Equivalent]] &gt; 0, CagrTable[[#This Row],[Premium Offset Input]] / CagrTable[[#This Row],[Covered Short Share Equivalent]], 0)</f>
        <v>6.8066999999999993</v>
      </c>
      <c r="BI9" s="173">
        <f>SUM(CagrTable[[#This Row],[Premium ACB]:[Premium Offset ACB]])</f>
        <v>5.7533999999999992</v>
      </c>
      <c r="BJ9" s="173">
        <f>IF(CagrTable[[#This Row],[Is Naked Short]],-1 * CagrTable[[#This Row],[Strike Price]] - (CagrTable[[#This Row],[Proceeds]] / CagrTable[[#This Row],[Naked Short Share Equivalent]]), 0)</f>
        <v>0</v>
      </c>
      <c r="BK9" s="173">
        <f>IF(CagrTable[[#This Row],[Is Short Put]], CagrTable[[#This Row],[Strike Price]] + CagrTable[[#This Row],[Net Short Premium ACB]], 0)</f>
        <v>0</v>
      </c>
      <c r="BL9" s="173">
        <f>IF(AND(CagrTable[[#This Row],[Is Long Call]], NOT(CagrTable[[#This Row],[Is PLUG]])), -1 * CagrTable[[#This Row],[P&amp;L]]/(CagrTable[[#This Row],[Qty]] * 100), 0)</f>
        <v>0</v>
      </c>
      <c r="BM9" s="173">
        <f>IF(AND(NOT(CagrTable[[#This Row],[Is Option]]), NOT(CagrTable[[#This Row],[Is PLUG]]), CagrTable[[#This Row],[Is Open]]), -CagrTable[[#This Row],[P&amp;L]]/CagrTable[[#This Row],[Qty]], 0)</f>
        <v>0</v>
      </c>
      <c r="BN9" s="173" t="b">
        <f>AND(_Total_ACB_Shares&lt;&gt;0, NOT(CagrTable[[#This Row],[Is PLUG]]))</f>
        <v>0</v>
      </c>
      <c r="BO9" s="173">
        <f>IF(OR(_Total_ACB_Shares=0, CagrTable[[#This Row],[Is PLUG]]), 0, (CagrTable[[#This Row],[ACB]] * CagrTable[[#This Row],[Qty]] * IF(CagrTable[[#This Row],[Is Option]], 100, 1))/ _Total_ACB_Shares)</f>
        <v>0</v>
      </c>
      <c r="BP9" s="184">
        <f>IF(_Total_ACB_Shares &lt; 0, -1, 1)</f>
        <v>1</v>
      </c>
      <c r="BQ9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5.7533999999999992</v>
      </c>
      <c r="BR9" s="174">
        <f>CagrTable[[#This Row],[Prelim Weighted ACB]] * CagrTable[[#This Row],[ACB Sign]]</f>
        <v>0</v>
      </c>
      <c r="BS9" s="62">
        <f>CagrTable[[#This Row],[Proceeds]] - CagrTable[[#This Row],[Basis]]</f>
        <v>-575.33999999999992</v>
      </c>
      <c r="BT9" s="91" t="s">
        <v>70</v>
      </c>
      <c r="BU9" s="63" t="s">
        <v>62</v>
      </c>
      <c r="BV9" s="63" t="s">
        <v>81</v>
      </c>
      <c r="BW9" s="63" t="s">
        <v>89</v>
      </c>
      <c r="BX9" s="27"/>
      <c r="BY9" s="58">
        <v>233</v>
      </c>
      <c r="BZ9" s="58">
        <v>1.06</v>
      </c>
      <c r="CA9" s="100">
        <v>46199.659953703704</v>
      </c>
      <c r="CB9" s="58">
        <v>1.6</v>
      </c>
      <c r="CC9" s="58">
        <v>0.55659999999999998</v>
      </c>
      <c r="CD9" s="65">
        <v>48</v>
      </c>
      <c r="CE9" s="82"/>
      <c r="CF9" s="66" t="s">
        <v>64</v>
      </c>
      <c r="CG9" s="58">
        <v>1.06</v>
      </c>
      <c r="CH9" s="66" t="s">
        <v>381</v>
      </c>
      <c r="CI9" s="66" t="s">
        <v>300</v>
      </c>
      <c r="CJ9" s="66"/>
      <c r="CK9" s="58">
        <v>244.4</v>
      </c>
      <c r="CL9" s="58">
        <v>6.8</v>
      </c>
      <c r="CM9" s="64">
        <v>46202.430046296293</v>
      </c>
      <c r="CN9" s="58">
        <v>8.3699999999999992</v>
      </c>
      <c r="CO9" s="58">
        <v>1.59</v>
      </c>
      <c r="CP9" s="67">
        <v>23</v>
      </c>
      <c r="CQ9" s="82"/>
      <c r="CR9" s="58" t="s">
        <v>64</v>
      </c>
      <c r="CS9" s="58">
        <v>2.5</v>
      </c>
      <c r="CT9" s="66" t="s">
        <v>386</v>
      </c>
      <c r="CU9" s="68" t="s">
        <v>86</v>
      </c>
      <c r="CV9" s="181" t="s">
        <v>382</v>
      </c>
      <c r="CW9" s="1"/>
      <c r="DC9" s="19"/>
      <c r="DL9" s="13"/>
    </row>
    <row r="10" spans="1:116" ht="12.75" customHeight="1">
      <c r="A10" s="69" t="s">
        <v>94</v>
      </c>
      <c r="B10" s="189" t="s">
        <v>67</v>
      </c>
      <c r="C10" s="88">
        <v>1</v>
      </c>
      <c r="D10" s="70">
        <v>26</v>
      </c>
      <c r="E10" s="1" t="str">
        <f>CONCATENATE(CagrTable[[#This Row],[Symbol]], CagrTable[[#This Row],[ID]])</f>
        <v>AMZN26</v>
      </c>
      <c r="F10" s="55" t="s">
        <v>61</v>
      </c>
      <c r="G10" s="56">
        <v>46218.432256944441</v>
      </c>
      <c r="H10" s="58">
        <v>1213.6600000000001</v>
      </c>
      <c r="I10" s="57">
        <f>IF(ISNUMBER(CagrTable[[#This Row],[Qty]]),CagrTable[[#This Row],[Basis]] /CagrTable[[#This Row],[Qty]], "")</f>
        <v>1213.6600000000001</v>
      </c>
      <c r="J10" s="56">
        <v>46202.430046296293</v>
      </c>
      <c r="K10" s="58">
        <v>929.31</v>
      </c>
      <c r="L10" s="78">
        <f>IF(ISNUMBER(CagrTable[[#This Row],[Qty]]),CagrTable[[#This Row],[Proceeds]] / CagrTable[[#This Row],[Qty]], "")</f>
        <v>929.31</v>
      </c>
      <c r="M10" s="77">
        <f>IF(CagrTable[[#This Row],[Is Open]], CagrTable[[#This Row],[Date Opened]], CagrTable[[#This Row],[Date Closed]])</f>
        <v>46218.432256944441</v>
      </c>
      <c r="N10" s="101"/>
      <c r="O10"/>
      <c r="P10" s="177"/>
      <c r="Q10" s="176"/>
      <c r="R10" s="71">
        <f>IF(CagrTable[[#This Row],[Sell Date]]=CagrTable[[#This Row],[Acquire Date]], 1, ABS(CagrTable[[#This Row],[Sell Date]] - CagrTable[[#This Row],[Acquire Date]]))</f>
        <v>16.002210648148321</v>
      </c>
      <c r="S10" s="72">
        <f>CagrTable[[#This Row],[Days Held]] / 30</f>
        <v>0.53340702160494402</v>
      </c>
      <c r="T10" s="178">
        <v>0.69</v>
      </c>
      <c r="U10" s="179">
        <v>0.66</v>
      </c>
      <c r="V10" s="158">
        <v>46227.729166666664</v>
      </c>
      <c r="W10" s="60">
        <v>245</v>
      </c>
      <c r="X10" s="75" t="s">
        <v>68</v>
      </c>
      <c r="Y10" s="61" t="s">
        <v>411</v>
      </c>
      <c r="Z10" s="85" t="str">
        <f>IF(OR(CagrTable[[#This Row],[Is Closed]]="", CagrTable[[#This Row],[Is Closed]]="H"),"Y","")</f>
        <v/>
      </c>
      <c r="AA10" s="85" t="str">
        <f>IF(OR(CagrTable[[#This Row],[Position]]="LNG",CagrTable[[#This Row],[Position]]="SHRT"),"Equity","Option")</f>
        <v>Option</v>
      </c>
      <c r="AB10" s="84" t="str">
        <f>IF(CagrTable[[#This Row],[Pricing Update Included]]="Y",IF(CagrTable[[#This Row],[Pricing Update Asset]]="Equity",CagrTable[[#This Row],[Symbol]],CagrTable[[#This Row],[Option Symbol]]),"")</f>
        <v/>
      </c>
      <c r="AC10" s="80">
        <f>SUBTOTAL(103,CagrTable[[#This Row],[Symbol]])</f>
        <v>1</v>
      </c>
      <c r="AD10" s="80" t="b">
        <f>LEFT(CagrTable[[#This Row],[Position]],1)="L"</f>
        <v>0</v>
      </c>
      <c r="AE10" s="80" t="b">
        <f>LEFT(CagrTable[[#This Row],[Position]],1)="S"</f>
        <v>1</v>
      </c>
      <c r="AF10" s="80" t="b">
        <f>(CagrTable[[#This Row],[Position]] = "DIV")</f>
        <v>0</v>
      </c>
      <c r="AG10" s="80" t="b">
        <f>CagrTable[[#This Row],[Position]] = "PLUG"</f>
        <v>0</v>
      </c>
      <c r="AH10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0</v>
      </c>
      <c r="AI10" s="80" t="b">
        <f>CagrTable[[#This Row],[Is Closed]] &lt;&gt; "Y"</f>
        <v>0</v>
      </c>
      <c r="AJ10" s="84" t="b">
        <f>OR(CagrTable[[#This Row],[Option Type]]&lt;&gt;"",
  CagrTable[[#This Row],[Position]]="LC", CagrTable[[#This Row],[Position]]="SC",
  CagrTable[[#This Row],[Position]]="LP",CagrTable[[#This Row],[Position]]="SP"
)</f>
        <v>1</v>
      </c>
      <c r="AK10" s="84" t="b">
        <f>AND(CagrTable[[#This Row],[Option Type]] = "C", CagrTable[[#This Row],[Is Short]])</f>
        <v>1</v>
      </c>
      <c r="AL10" s="84" t="b">
        <f>AND(CagrTable[[#This Row],[Is Short Call]],CagrTable[[#This Row],[Is Naked Call]] = TRUE)</f>
        <v>0</v>
      </c>
      <c r="AM10" s="84" t="b">
        <f>AND(CagrTable[[#This Row],[Option Type]] = "P", CagrTable[[#This Row],[Is Short]])</f>
        <v>0</v>
      </c>
      <c r="AN10" s="84" t="b">
        <f>CagrTable[[#This Row],[Position]]= "LC"</f>
        <v>0</v>
      </c>
      <c r="AO10" s="169">
        <f>IF(AND(CagrTable[[#This Row],[Is Long]], NOT(CagrTable[[#This Row],[Position]]="LP")), CagrTable[[#This Row],[Qty]] * IF(CagrTable[[#This Row],[Is Option]], 100, 1), 0)</f>
        <v>0</v>
      </c>
      <c r="AP10" s="169">
        <f>IF(CagrTable[[#This Row],[Is Naked Short]], CagrTable[[#This Row],[Qty]] * -100, 0)</f>
        <v>0</v>
      </c>
      <c r="AQ10" s="169">
        <f>IF(CagrTable[[#This Row],[Is ACB Put]], CagrTable[[#This Row],[Qty]] * -100, 0)</f>
        <v>0</v>
      </c>
      <c r="AR10" s="169">
        <f>IF(AND(CagrTable[[#This Row],[Is Short]], NOT(CagrTable[[#This Row],[Is Naked Short]])), CagrTable[[#This Row],[Qty]] * IF(CagrTable[[#This Row],[Is Option]], 100, 1), 0)</f>
        <v>100</v>
      </c>
      <c r="AS10" s="169">
        <f>SUM(CagrTable[[#This Row],[Long Share Equivalent]:[Covered Short Share Equivalent]])</f>
        <v>100</v>
      </c>
      <c r="AT10" s="169">
        <f>IF(CagrTable[[#This Row],[Is Open]], SUM(CagrTable[[#This Row],[Long Share Equivalent]:[ACB Put Share Equivalent]]), 0)</f>
        <v>0</v>
      </c>
      <c r="AU10" s="166">
        <f>IF(OR(CagrTable[[#This Row],[Is Long]], CagrTable[[#This Row],[Is DIV]]), CagrTable[[#This Row],[Acquire Date]], CagrTable[[#This Row],[Sell Date]])</f>
        <v>46202.430046296293</v>
      </c>
      <c r="AV10" s="166" t="str">
        <f>IF(NOT(CagrTable[[#This Row],[Is Option]]), IF(OR(CagrTable[[#This Row],[Is Long]], CagrTable[[#This Row],[Is DIV]]), CagrTable[[#This Row],[Sell Date]], CagrTable[[#This Row],[Acquire Date]]), "")</f>
        <v/>
      </c>
      <c r="AW10" s="166" t="str">
        <f>IF(AND(CagrTable[[#This Row],[Is Option]], CagrTable[[#This Row],[Is Open]]), IF(CagrTable[[#This Row],[Is Long Call]], CagrTable[[#This Row],[Exp Date]], MIN(MockToday, CagrTable[[#This Row],[Exp Date]])), "")</f>
        <v/>
      </c>
      <c r="AX10" s="166">
        <f>IF(AND(CagrTable[[#This Row],[Is Option]], NOT(CagrTable[[#This Row],[Is Open]])), IF(CagrTable[[#This Row],[Is Long]], CagrTable[[#This Row],[Sell Date]], CagrTable[[#This Row],[Acquire Date]]), "")</f>
        <v>46218.432256944441</v>
      </c>
      <c r="AY10" s="166" cm="1">
        <f t="array" ref="AY10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46218.432256944441</v>
      </c>
      <c r="AZ10" s="80" t="b">
        <f>IF(AND(CagrTable[[#This Row],[Visible]], CagrTable[[#This Row],[Is Open]]), OR(CagrTable[[#This Row],[Is Long]], AND(CagrTable[[#This Row],[Is Short]], CagrTable[[#This Row],[Is Naked Call]])), FALSE)</f>
        <v>0</v>
      </c>
      <c r="BA10" s="80" t="b">
        <f>AND(CagrTable[[#This Row],[Visible]], OR(NOT(CagrTable[[#This Row],[Is PLUG]]), CagrTable[[#This Row],[Plug Type]] = "MTM"))</f>
        <v>1</v>
      </c>
      <c r="BB10" s="80" t="b">
        <f>AND(CagrTable[[#This Row],[Visible]],NOT(CagrTable[[#This Row],[Is Open]]),NOT(CagrTable[[#This Row],[Plug Type]] = "MC"),CagrTable[[#This Row],[Position]]&lt;&gt;"DIV")</f>
        <v>1</v>
      </c>
      <c r="BC10" s="193">
        <f>IF(AND(CagrTable[[#This Row],[Visible]], CagrTable[[#This Row],[Plug Type]] = "MC"), CagrTable[[#This Row],[Basis]], 0)</f>
        <v>0</v>
      </c>
      <c r="BD10" s="182">
        <f>IF(CagrTable[[#This Row],[Is PLUG]], 0, CagrTable[[#This Row],[Proceeds]] - CagrTable[[#This Row],[Basis]])</f>
        <v>-284.35000000000014</v>
      </c>
      <c r="BE10" s="180">
        <f>IF(AND(OR(CagrTable[[#This Row],[Is Short Call]],CagrTable[[#This Row],[Is Short Put]])), CagrTable[[#This Row],[Proceeds]], 0)</f>
        <v>929.31</v>
      </c>
      <c r="BF10" s="180">
        <f>IF(AND(OR(CagrTable[[#This Row],[Is Short Call]],CagrTable[[#This Row],[Is Short Put]])), CagrTable[[#This Row],[Basis]], 0)</f>
        <v>1213.6600000000001</v>
      </c>
      <c r="BG10" s="173">
        <f>IF(CagrTable[[#This Row],[Covered Short Share Equivalent]] &gt; 0,-1 * CagrTable[[#This Row],[Premium Input]] / CagrTable[[#This Row],[Covered Short Share Equivalent]], 0)</f>
        <v>-9.293099999999999</v>
      </c>
      <c r="BH10" s="173">
        <f>IF(CagrTable[[#This Row],[Covered Short Share Equivalent]] &gt; 0, CagrTable[[#This Row],[Premium Offset Input]] / CagrTable[[#This Row],[Covered Short Share Equivalent]], 0)</f>
        <v>12.136600000000001</v>
      </c>
      <c r="BI10" s="173">
        <f>SUM(CagrTable[[#This Row],[Premium ACB]:[Premium Offset ACB]])</f>
        <v>2.8435000000000024</v>
      </c>
      <c r="BJ10" s="173">
        <f>IF(CagrTable[[#This Row],[Is Naked Short]],-1 * CagrTable[[#This Row],[Strike Price]] - (CagrTable[[#This Row],[Proceeds]] / CagrTable[[#This Row],[Naked Short Share Equivalent]]), 0)</f>
        <v>0</v>
      </c>
      <c r="BK10" s="173">
        <f>IF(CagrTable[[#This Row],[Is Short Put]], CagrTable[[#This Row],[Strike Price]] + CagrTable[[#This Row],[Net Short Premium ACB]], 0)</f>
        <v>0</v>
      </c>
      <c r="BL10" s="173">
        <f>IF(AND(CagrTable[[#This Row],[Is Long Call]], NOT(CagrTable[[#This Row],[Is PLUG]])), -1 * CagrTable[[#This Row],[P&amp;L]]/(CagrTable[[#This Row],[Qty]] * 100), 0)</f>
        <v>0</v>
      </c>
      <c r="BM10" s="173">
        <f>IF(AND(NOT(CagrTable[[#This Row],[Is Option]]), NOT(CagrTable[[#This Row],[Is PLUG]]), CagrTable[[#This Row],[Is Open]]), -CagrTable[[#This Row],[P&amp;L]]/CagrTable[[#This Row],[Qty]], 0)</f>
        <v>0</v>
      </c>
      <c r="BN10" s="173" t="b">
        <f>AND(_Total_ACB_Shares&lt;&gt;0, NOT(CagrTable[[#This Row],[Is PLUG]]))</f>
        <v>0</v>
      </c>
      <c r="BO10" s="173">
        <f>IF(OR(_Total_ACB_Shares=0, CagrTable[[#This Row],[Is PLUG]]), 0, (CagrTable[[#This Row],[ACB]] * CagrTable[[#This Row],[Qty]] * IF(CagrTable[[#This Row],[Is Option]], 100, 1))/ _Total_ACB_Shares)</f>
        <v>0</v>
      </c>
      <c r="BP10" s="184">
        <f>IF(_Total_ACB_Shares &lt; 0, -1, 1)</f>
        <v>1</v>
      </c>
      <c r="BQ10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2.8435000000000024</v>
      </c>
      <c r="BR10" s="174">
        <f>CagrTable[[#This Row],[Prelim Weighted ACB]] * CagrTable[[#This Row],[ACB Sign]]</f>
        <v>0</v>
      </c>
      <c r="BS10" s="62">
        <f>CagrTable[[#This Row],[Proceeds]] - CagrTable[[#This Row],[Basis]]</f>
        <v>-284.35000000000014</v>
      </c>
      <c r="BT10" s="91" t="s">
        <v>70</v>
      </c>
      <c r="BU10" s="63" t="s">
        <v>62</v>
      </c>
      <c r="BV10" s="63" t="s">
        <v>81</v>
      </c>
      <c r="BW10" s="63" t="s">
        <v>89</v>
      </c>
      <c r="BX10" s="27"/>
      <c r="BY10" s="58">
        <v>244.4</v>
      </c>
      <c r="BZ10" s="58">
        <v>9.3000000000000007</v>
      </c>
      <c r="CA10" s="100">
        <v>46202.430046296293</v>
      </c>
      <c r="CB10" s="58">
        <v>10.050000000000001</v>
      </c>
      <c r="CC10" s="58">
        <v>4.55</v>
      </c>
      <c r="CD10" s="65">
        <v>86</v>
      </c>
      <c r="CE10" s="83"/>
      <c r="CF10" s="66" t="s">
        <v>73</v>
      </c>
      <c r="CG10" s="58"/>
      <c r="CH10" s="66" t="s">
        <v>413</v>
      </c>
      <c r="CI10" s="66" t="s">
        <v>300</v>
      </c>
      <c r="CJ10" s="66"/>
      <c r="CK10" s="58">
        <v>254</v>
      </c>
      <c r="CL10" s="58">
        <v>12.13</v>
      </c>
      <c r="CM10" s="64">
        <v>46218.432268518518</v>
      </c>
      <c r="CN10" s="58">
        <v>0</v>
      </c>
      <c r="CO10" s="58">
        <v>0</v>
      </c>
      <c r="CP10" s="67">
        <v>-1</v>
      </c>
      <c r="CQ10" s="82"/>
      <c r="CR10" s="58" t="s">
        <v>64</v>
      </c>
      <c r="CS10" s="58">
        <v>4.7</v>
      </c>
      <c r="CT10" s="66" t="s">
        <v>412</v>
      </c>
      <c r="CU10" s="73" t="s">
        <v>86</v>
      </c>
      <c r="CV10" s="181" t="s">
        <v>387</v>
      </c>
      <c r="CW10" s="1"/>
      <c r="DC10" s="19"/>
      <c r="DL10" s="13"/>
    </row>
    <row r="11" spans="1:116" ht="12.75" customHeight="1">
      <c r="A11" s="69" t="s">
        <v>94</v>
      </c>
      <c r="B11" s="189" t="s">
        <v>67</v>
      </c>
      <c r="C11" s="88">
        <v>1</v>
      </c>
      <c r="D11" s="70">
        <v>26</v>
      </c>
      <c r="E11" s="1" t="str">
        <f>CONCATENATE(CagrTable[[#This Row],[Symbol]], CagrTable[[#This Row],[ID]])</f>
        <v>AMZN26</v>
      </c>
      <c r="F11" s="55" t="s">
        <v>61</v>
      </c>
      <c r="G11" s="56">
        <v>46255.729166666664</v>
      </c>
      <c r="H11" s="58">
        <v>0</v>
      </c>
      <c r="I11" s="57">
        <f>IF(ISNUMBER(CagrTable[[#This Row],[Qty]]),CagrTable[[#This Row],[Basis]] /CagrTable[[#This Row],[Qty]], "")</f>
        <v>0</v>
      </c>
      <c r="J11" s="56">
        <v>46218.432268518518</v>
      </c>
      <c r="K11" s="58">
        <v>1682.33</v>
      </c>
      <c r="L11" s="78">
        <f>IF(ISNUMBER(CagrTable[[#This Row],[Qty]]),CagrTable[[#This Row],[Proceeds]] / CagrTable[[#This Row],[Qty]], "")</f>
        <v>1682.33</v>
      </c>
      <c r="M11" s="77">
        <f>IF(CagrTable[[#This Row],[Is Open]], CagrTable[[#This Row],[Date Opened]], CagrTable[[#This Row],[Date Closed]])</f>
        <v>46255.729166666664</v>
      </c>
      <c r="N11" s="101"/>
      <c r="O11"/>
      <c r="P11" s="177"/>
      <c r="Q11" s="176"/>
      <c r="R11" s="71">
        <f>IF(CagrTable[[#This Row],[Sell Date]]=CagrTable[[#This Row],[Acquire Date]], 1, ABS(CagrTable[[#This Row],[Sell Date]] - CagrTable[[#This Row],[Acquire Date]]))</f>
        <v>37.296898148146283</v>
      </c>
      <c r="S11" s="59">
        <f>CagrTable[[#This Row],[Days Held]] / 30</f>
        <v>1.2432299382715428</v>
      </c>
      <c r="T11" s="178">
        <v>0.67</v>
      </c>
      <c r="U11" s="179"/>
      <c r="V11" s="158">
        <v>46255.729166666664</v>
      </c>
      <c r="W11" s="60">
        <v>250</v>
      </c>
      <c r="X11" s="75" t="s">
        <v>68</v>
      </c>
      <c r="Y11" s="61" t="s">
        <v>408</v>
      </c>
      <c r="Z11" s="85" t="str">
        <f>IF(OR(CagrTable[[#This Row],[Is Closed]]="", CagrTable[[#This Row],[Is Closed]]="H"),"Y","")</f>
        <v/>
      </c>
      <c r="AA11" s="85" t="str">
        <f>IF(OR(CagrTable[[#This Row],[Position]]="LNG",CagrTable[[#This Row],[Position]]="SHRT"),"Equity","Option")</f>
        <v>Option</v>
      </c>
      <c r="AB11" s="84" t="str">
        <f>IF(CagrTable[[#This Row],[Pricing Update Included]]="Y",IF(CagrTable[[#This Row],[Pricing Update Asset]]="Equity",CagrTable[[#This Row],[Symbol]],CagrTable[[#This Row],[Option Symbol]]),"")</f>
        <v/>
      </c>
      <c r="AC11" s="80">
        <f>SUBTOTAL(103,CagrTable[[#This Row],[Symbol]])</f>
        <v>1</v>
      </c>
      <c r="AD11" s="80" t="b">
        <f>LEFT(CagrTable[[#This Row],[Position]],1)="L"</f>
        <v>0</v>
      </c>
      <c r="AE11" s="80" t="b">
        <f>LEFT(CagrTable[[#This Row],[Position]],1)="S"</f>
        <v>1</v>
      </c>
      <c r="AF11" s="80" t="b">
        <f>(CagrTable[[#This Row],[Position]] = "DIV")</f>
        <v>0</v>
      </c>
      <c r="AG11" s="80" t="b">
        <f>CagrTable[[#This Row],[Position]] = "PLUG"</f>
        <v>0</v>
      </c>
      <c r="AH11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0</v>
      </c>
      <c r="AI11" s="80" t="b">
        <f>CagrTable[[#This Row],[Is Closed]] &lt;&gt; "Y"</f>
        <v>0</v>
      </c>
      <c r="AJ11" s="84" t="b">
        <f>OR(CagrTable[[#This Row],[Option Type]]&lt;&gt;"",
  CagrTable[[#This Row],[Position]]="LC", CagrTable[[#This Row],[Position]]="SC",
  CagrTable[[#This Row],[Position]]="LP",CagrTable[[#This Row],[Position]]="SP"
)</f>
        <v>1</v>
      </c>
      <c r="AK11" s="84" t="b">
        <f>AND(CagrTable[[#This Row],[Option Type]] = "C", CagrTable[[#This Row],[Is Short]])</f>
        <v>1</v>
      </c>
      <c r="AL11" s="84" t="b">
        <f>AND(CagrTable[[#This Row],[Is Short Call]],CagrTable[[#This Row],[Is Naked Call]] = TRUE)</f>
        <v>0</v>
      </c>
      <c r="AM11" s="84" t="b">
        <f>AND(CagrTable[[#This Row],[Option Type]] = "P", CagrTable[[#This Row],[Is Short]])</f>
        <v>0</v>
      </c>
      <c r="AN11" s="84" t="b">
        <f>CagrTable[[#This Row],[Position]]= "LC"</f>
        <v>0</v>
      </c>
      <c r="AO11" s="169">
        <f>IF(AND(CagrTable[[#This Row],[Is Long]], NOT(CagrTable[[#This Row],[Position]]="LP")), CagrTable[[#This Row],[Qty]] * IF(CagrTable[[#This Row],[Is Option]], 100, 1), 0)</f>
        <v>0</v>
      </c>
      <c r="AP11" s="169">
        <f>IF(CagrTable[[#This Row],[Is Naked Short]], CagrTable[[#This Row],[Qty]] * -100, 0)</f>
        <v>0</v>
      </c>
      <c r="AQ11" s="169">
        <f>IF(CagrTable[[#This Row],[Is ACB Put]], CagrTable[[#This Row],[Qty]] * -100, 0)</f>
        <v>0</v>
      </c>
      <c r="AR11" s="169">
        <f>IF(AND(CagrTable[[#This Row],[Is Short]], NOT(CagrTable[[#This Row],[Is Naked Short]])), CagrTable[[#This Row],[Qty]] * IF(CagrTable[[#This Row],[Is Option]], 100, 1), 0)</f>
        <v>100</v>
      </c>
      <c r="AS11" s="169">
        <f>SUM(CagrTable[[#This Row],[Long Share Equivalent]:[Covered Short Share Equivalent]])</f>
        <v>100</v>
      </c>
      <c r="AT11" s="169">
        <f>IF(CagrTable[[#This Row],[Is Open]], SUM(CagrTable[[#This Row],[Long Share Equivalent]:[ACB Put Share Equivalent]]), 0)</f>
        <v>0</v>
      </c>
      <c r="AU11" s="166">
        <f>IF(OR(CagrTable[[#This Row],[Is Long]], CagrTable[[#This Row],[Is DIV]]), CagrTable[[#This Row],[Acquire Date]], CagrTable[[#This Row],[Sell Date]])</f>
        <v>46218.432268518518</v>
      </c>
      <c r="AV11" s="166" t="str">
        <f>IF(NOT(CagrTable[[#This Row],[Is Option]]), IF(OR(CagrTable[[#This Row],[Is Long]], CagrTable[[#This Row],[Is DIV]]), CagrTable[[#This Row],[Sell Date]], CagrTable[[#This Row],[Acquire Date]]), "")</f>
        <v/>
      </c>
      <c r="AW11" s="166" t="str">
        <f>IF(AND(CagrTable[[#This Row],[Is Option]], CagrTable[[#This Row],[Is Open]]), IF(CagrTable[[#This Row],[Is Long Call]], CagrTable[[#This Row],[Exp Date]], MIN(MockToday, CagrTable[[#This Row],[Exp Date]])), "")</f>
        <v/>
      </c>
      <c r="AX11" s="166">
        <f>IF(AND(CagrTable[[#This Row],[Is Option]], NOT(CagrTable[[#This Row],[Is Open]])), IF(CagrTable[[#This Row],[Is Long]], CagrTable[[#This Row],[Sell Date]], CagrTable[[#This Row],[Acquire Date]]), "")</f>
        <v>46255.729166666664</v>
      </c>
      <c r="AY11" s="166" cm="1">
        <f t="array" ref="AY11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46255.729166666664</v>
      </c>
      <c r="AZ11" s="80" t="b">
        <f>IF(AND(CagrTable[[#This Row],[Visible]], CagrTable[[#This Row],[Is Open]]), OR(CagrTable[[#This Row],[Is Long]], AND(CagrTable[[#This Row],[Is Short]], CagrTable[[#This Row],[Is Naked Call]])), FALSE)</f>
        <v>0</v>
      </c>
      <c r="BA11" s="80" t="b">
        <f>AND(CagrTable[[#This Row],[Visible]], OR(NOT(CagrTable[[#This Row],[Is PLUG]]), CagrTable[[#This Row],[Plug Type]] = "MTM"))</f>
        <v>1</v>
      </c>
      <c r="BB11" s="80" t="b">
        <f>AND(CagrTable[[#This Row],[Visible]],NOT(CagrTable[[#This Row],[Is Open]]),NOT(CagrTable[[#This Row],[Plug Type]] = "MC"),CagrTable[[#This Row],[Position]]&lt;&gt;"DIV")</f>
        <v>1</v>
      </c>
      <c r="BC11" s="193">
        <f>IF(AND(CagrTable[[#This Row],[Visible]], CagrTable[[#This Row],[Plug Type]] = "MC"), CagrTable[[#This Row],[Basis]], 0)</f>
        <v>0</v>
      </c>
      <c r="BD11" s="182">
        <f>IF(CagrTable[[#This Row],[Is PLUG]], 0, CagrTable[[#This Row],[Proceeds]] - CagrTable[[#This Row],[Basis]])</f>
        <v>1682.33</v>
      </c>
      <c r="BE11" s="180">
        <f>IF(AND(OR(CagrTable[[#This Row],[Is Short Call]],CagrTable[[#This Row],[Is Short Put]])), CagrTable[[#This Row],[Proceeds]], 0)</f>
        <v>1682.33</v>
      </c>
      <c r="BF11" s="180">
        <f>IF(AND(OR(CagrTable[[#This Row],[Is Short Call]],CagrTable[[#This Row],[Is Short Put]])), CagrTable[[#This Row],[Basis]], 0)</f>
        <v>0</v>
      </c>
      <c r="BG11" s="173">
        <f>IF(CagrTable[[#This Row],[Covered Short Share Equivalent]] &gt; 0,-1 * CagrTable[[#This Row],[Premium Input]] / CagrTable[[#This Row],[Covered Short Share Equivalent]], 0)</f>
        <v>-16.8233</v>
      </c>
      <c r="BH11" s="173">
        <f>IF(CagrTable[[#This Row],[Covered Short Share Equivalent]] &gt; 0, CagrTable[[#This Row],[Premium Offset Input]] / CagrTable[[#This Row],[Covered Short Share Equivalent]], 0)</f>
        <v>0</v>
      </c>
      <c r="BI11" s="173">
        <f>SUM(CagrTable[[#This Row],[Premium ACB]:[Premium Offset ACB]])</f>
        <v>-16.8233</v>
      </c>
      <c r="BJ11" s="173">
        <f>IF(CagrTable[[#This Row],[Is Naked Short]],-1 * CagrTable[[#This Row],[Strike Price]] - (CagrTable[[#This Row],[Proceeds]] / CagrTable[[#This Row],[Naked Short Share Equivalent]]), 0)</f>
        <v>0</v>
      </c>
      <c r="BK11" s="173">
        <f>IF(CagrTable[[#This Row],[Is Short Put]], CagrTable[[#This Row],[Strike Price]] + CagrTable[[#This Row],[Net Short Premium ACB]], 0)</f>
        <v>0</v>
      </c>
      <c r="BL11" s="173">
        <f>IF(AND(CagrTable[[#This Row],[Is Long Call]], NOT(CagrTable[[#This Row],[Is PLUG]])), -1 * CagrTable[[#This Row],[P&amp;L]]/(CagrTable[[#This Row],[Qty]] * 100), 0)</f>
        <v>0</v>
      </c>
      <c r="BM11" s="173">
        <f>IF(AND(NOT(CagrTable[[#This Row],[Is Option]]), NOT(CagrTable[[#This Row],[Is PLUG]]), CagrTable[[#This Row],[Is Open]]), -CagrTable[[#This Row],[P&amp;L]]/CagrTable[[#This Row],[Qty]], 0)</f>
        <v>0</v>
      </c>
      <c r="BN11" s="173" t="b">
        <f>AND(_Total_ACB_Shares&lt;&gt;0, NOT(CagrTable[[#This Row],[Is PLUG]]))</f>
        <v>0</v>
      </c>
      <c r="BO11" s="173">
        <f>IF(OR(_Total_ACB_Shares=0, CagrTable[[#This Row],[Is PLUG]]), 0, (CagrTable[[#This Row],[ACB]] * CagrTable[[#This Row],[Qty]] * IF(CagrTable[[#This Row],[Is Option]], 100, 1))/ _Total_ACB_Shares)</f>
        <v>0</v>
      </c>
      <c r="BP11" s="184">
        <f>IF(_Total_ACB_Shares &lt; 0, -1, 1)</f>
        <v>1</v>
      </c>
      <c r="BQ11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-16.8233</v>
      </c>
      <c r="BR11" s="174">
        <f>CagrTable[[#This Row],[Prelim Weighted ACB]] * CagrTable[[#This Row],[ACB Sign]]</f>
        <v>0</v>
      </c>
      <c r="BS11" s="62">
        <f>CagrTable[[#This Row],[Proceeds]] - CagrTable[[#This Row],[Basis]]</f>
        <v>1682.33</v>
      </c>
      <c r="BT11" s="91" t="s">
        <v>70</v>
      </c>
      <c r="BU11" s="63" t="s">
        <v>62</v>
      </c>
      <c r="BV11" s="63" t="s">
        <v>81</v>
      </c>
      <c r="BW11" s="63" t="s">
        <v>89</v>
      </c>
      <c r="BX11" s="27"/>
      <c r="BY11" s="58">
        <v>254</v>
      </c>
      <c r="BZ11" s="58">
        <v>16.829999999999998</v>
      </c>
      <c r="CA11" s="100">
        <v>46218.432268518518</v>
      </c>
      <c r="CB11" s="58">
        <v>0</v>
      </c>
      <c r="CC11" s="58">
        <v>0</v>
      </c>
      <c r="CD11" s="65">
        <v>-1</v>
      </c>
      <c r="CE11" s="82"/>
      <c r="CF11" s="66" t="s">
        <v>64</v>
      </c>
      <c r="CG11" s="58">
        <v>4.7</v>
      </c>
      <c r="CH11" s="66" t="s">
        <v>409</v>
      </c>
      <c r="CI11" s="66" t="s">
        <v>65</v>
      </c>
      <c r="CJ11" s="66"/>
      <c r="CK11" s="58">
        <v>258.63</v>
      </c>
      <c r="CL11" s="58">
        <v>0</v>
      </c>
      <c r="CM11" s="64">
        <v>46255.708333333336</v>
      </c>
      <c r="CN11" s="58">
        <v>0</v>
      </c>
      <c r="CO11" s="58">
        <v>0</v>
      </c>
      <c r="CP11" s="67">
        <v>0</v>
      </c>
      <c r="CQ11" s="82"/>
      <c r="CR11" s="58"/>
      <c r="CS11" s="58"/>
      <c r="CT11" s="66" t="s">
        <v>66</v>
      </c>
      <c r="CU11" s="68"/>
      <c r="CV11" s="181" t="s">
        <v>410</v>
      </c>
      <c r="CW11" s="1"/>
      <c r="DC11" s="19"/>
      <c r="DL11" s="13"/>
    </row>
    <row r="12" spans="1:116" ht="12.75" customHeight="1">
      <c r="A12" s="69" t="s">
        <v>94</v>
      </c>
      <c r="B12" s="189" t="s">
        <v>60</v>
      </c>
      <c r="C12" s="88">
        <v>100</v>
      </c>
      <c r="D12" s="70">
        <v>26</v>
      </c>
      <c r="E12" s="1" t="str">
        <f>CONCATENATE(CagrTable[[#This Row],[Symbol]], CagrTable[[#This Row],[ID]])</f>
        <v>AMZN26</v>
      </c>
      <c r="F12" s="55" t="s">
        <v>61</v>
      </c>
      <c r="G12" s="56">
        <v>46190.666666666664</v>
      </c>
      <c r="H12" s="58">
        <v>25000</v>
      </c>
      <c r="I12" s="57">
        <f>IF(ISNUMBER(CagrTable[[#This Row],[Qty]]),CagrTable[[#This Row],[Basis]] /CagrTable[[#This Row],[Qty]], "")</f>
        <v>250</v>
      </c>
      <c r="J12" s="56">
        <v>46255.75</v>
      </c>
      <c r="K12" s="58">
        <v>24999.48</v>
      </c>
      <c r="L12" s="78">
        <f>IF(ISNUMBER(CagrTable[[#This Row],[Qty]]),CagrTable[[#This Row],[Proceeds]] / CagrTable[[#This Row],[Qty]], "")</f>
        <v>249.9948</v>
      </c>
      <c r="M12" s="77">
        <f>IF(CagrTable[[#This Row],[Is Open]], CagrTable[[#This Row],[Date Opened]], CagrTable[[#This Row],[Date Closed]])</f>
        <v>46255.75</v>
      </c>
      <c r="N12" s="101"/>
      <c r="O12"/>
      <c r="P12" s="177"/>
      <c r="Q12" s="176"/>
      <c r="R12" s="71">
        <f>IF(CagrTable[[#This Row],[Sell Date]]=CagrTable[[#This Row],[Acquire Date]], 1, ABS(CagrTable[[#This Row],[Sell Date]] - CagrTable[[#This Row],[Acquire Date]]))</f>
        <v>65.083333333335759</v>
      </c>
      <c r="S12" s="72">
        <f>CagrTable[[#This Row],[Days Held]] / 30</f>
        <v>2.1694444444445251</v>
      </c>
      <c r="T12" s="178">
        <v>0</v>
      </c>
      <c r="U12" s="179">
        <v>0.52</v>
      </c>
      <c r="V12" s="158">
        <v>46191.729166666664</v>
      </c>
      <c r="W12" s="60">
        <v>250</v>
      </c>
      <c r="X12" s="75"/>
      <c r="Y12" s="61" t="s">
        <v>313</v>
      </c>
      <c r="Z12" s="85" t="str">
        <f>IF(OR(CagrTable[[#This Row],[Is Closed]]="", CagrTable[[#This Row],[Is Closed]]="H"),"Y","")</f>
        <v/>
      </c>
      <c r="AA12" s="85" t="str">
        <f>IF(OR(CagrTable[[#This Row],[Position]]="LNG",CagrTable[[#This Row],[Position]]="SHRT"),"Equity","Option")</f>
        <v>Equity</v>
      </c>
      <c r="AB12" s="84" t="str">
        <f>IF(CagrTable[[#This Row],[Pricing Update Included]]="Y",IF(CagrTable[[#This Row],[Pricing Update Asset]]="Equity",CagrTable[[#This Row],[Symbol]],CagrTable[[#This Row],[Option Symbol]]),"")</f>
        <v/>
      </c>
      <c r="AC12" s="80">
        <f>SUBTOTAL(103,CagrTable[[#This Row],[Symbol]])</f>
        <v>1</v>
      </c>
      <c r="AD12" s="80" t="b">
        <f>LEFT(CagrTable[[#This Row],[Position]],1)="L"</f>
        <v>1</v>
      </c>
      <c r="AE12" s="80" t="b">
        <f>LEFT(CagrTable[[#This Row],[Position]],1)="S"</f>
        <v>0</v>
      </c>
      <c r="AF12" s="80" t="b">
        <f>(CagrTable[[#This Row],[Position]] = "DIV")</f>
        <v>0</v>
      </c>
      <c r="AG12" s="80" t="b">
        <f>CagrTable[[#This Row],[Position]] = "PLUG"</f>
        <v>0</v>
      </c>
      <c r="AH12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0</v>
      </c>
      <c r="AI12" s="80" t="b">
        <f>CagrTable[[#This Row],[Is Closed]] &lt;&gt; "Y"</f>
        <v>0</v>
      </c>
      <c r="AJ12" s="84" t="b">
        <f>OR(CagrTable[[#This Row],[Option Type]]&lt;&gt;"",
  CagrTable[[#This Row],[Position]]="LC", CagrTable[[#This Row],[Position]]="SC",
  CagrTable[[#This Row],[Position]]="LP",CagrTable[[#This Row],[Position]]="SP"
)</f>
        <v>0</v>
      </c>
      <c r="AK12" s="84" t="b">
        <f>AND(CagrTable[[#This Row],[Option Type]] = "C", CagrTable[[#This Row],[Is Short]])</f>
        <v>0</v>
      </c>
      <c r="AL12" s="84" t="b">
        <f>AND(CagrTable[[#This Row],[Is Short Call]],CagrTable[[#This Row],[Is Naked Call]] = TRUE)</f>
        <v>0</v>
      </c>
      <c r="AM12" s="84" t="b">
        <f>AND(CagrTable[[#This Row],[Option Type]] = "P", CagrTable[[#This Row],[Is Short]])</f>
        <v>0</v>
      </c>
      <c r="AN12" s="84" t="b">
        <f>CagrTable[[#This Row],[Position]]= "LC"</f>
        <v>0</v>
      </c>
      <c r="AO12" s="169">
        <f>IF(AND(CagrTable[[#This Row],[Is Long]], NOT(CagrTable[[#This Row],[Position]]="LP")), CagrTable[[#This Row],[Qty]] * IF(CagrTable[[#This Row],[Is Option]], 100, 1), 0)</f>
        <v>100</v>
      </c>
      <c r="AP12" s="169">
        <f>IF(CagrTable[[#This Row],[Is Naked Short]], CagrTable[[#This Row],[Qty]] * -100, 0)</f>
        <v>0</v>
      </c>
      <c r="AQ12" s="169">
        <f>IF(CagrTable[[#This Row],[Is ACB Put]], CagrTable[[#This Row],[Qty]] * -100, 0)</f>
        <v>0</v>
      </c>
      <c r="AR12" s="169">
        <f>IF(AND(CagrTable[[#This Row],[Is Short]], NOT(CagrTable[[#This Row],[Is Naked Short]])), CagrTable[[#This Row],[Qty]] * IF(CagrTable[[#This Row],[Is Option]], 100, 1), 0)</f>
        <v>0</v>
      </c>
      <c r="AS12" s="169">
        <f>SUM(CagrTable[[#This Row],[Long Share Equivalent]:[Covered Short Share Equivalent]])</f>
        <v>100</v>
      </c>
      <c r="AT12" s="169">
        <f>IF(CagrTable[[#This Row],[Is Open]], SUM(CagrTable[[#This Row],[Long Share Equivalent]:[ACB Put Share Equivalent]]), 0)</f>
        <v>0</v>
      </c>
      <c r="AU12" s="166">
        <f>IF(OR(CagrTable[[#This Row],[Is Long]], CagrTable[[#This Row],[Is DIV]]), CagrTable[[#This Row],[Acquire Date]], CagrTable[[#This Row],[Sell Date]])</f>
        <v>46190.666666666664</v>
      </c>
      <c r="AV12" s="166">
        <f>IF(NOT(CagrTable[[#This Row],[Is Option]]), IF(OR(CagrTable[[#This Row],[Is Long]], CagrTable[[#This Row],[Is DIV]]), CagrTable[[#This Row],[Sell Date]], CagrTable[[#This Row],[Acquire Date]]), "")</f>
        <v>46255.75</v>
      </c>
      <c r="AW12" s="166" t="str">
        <f>IF(AND(CagrTable[[#This Row],[Is Option]], CagrTable[[#This Row],[Is Open]]), IF(CagrTable[[#This Row],[Is Long Call]], CagrTable[[#This Row],[Exp Date]], MIN(MockToday, CagrTable[[#This Row],[Exp Date]])), "")</f>
        <v/>
      </c>
      <c r="AX12" s="166" t="str">
        <f>IF(AND(CagrTable[[#This Row],[Is Option]], NOT(CagrTable[[#This Row],[Is Open]])), IF(CagrTable[[#This Row],[Is Long]], CagrTable[[#This Row],[Sell Date]], CagrTable[[#This Row],[Acquire Date]]), "")</f>
        <v/>
      </c>
      <c r="AY12" s="166" cm="1">
        <f t="array" ref="AY12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46255.75</v>
      </c>
      <c r="AZ12" s="80" t="b">
        <f>IF(AND(CagrTable[[#This Row],[Visible]], CagrTable[[#This Row],[Is Open]]), OR(CagrTable[[#This Row],[Is Long]], AND(CagrTable[[#This Row],[Is Short]], CagrTable[[#This Row],[Is Naked Call]])), FALSE)</f>
        <v>0</v>
      </c>
      <c r="BA12" s="80" t="b">
        <f>AND(CagrTable[[#This Row],[Visible]], OR(NOT(CagrTable[[#This Row],[Is PLUG]]), CagrTable[[#This Row],[Plug Type]] = "MTM"))</f>
        <v>1</v>
      </c>
      <c r="BB12" s="80" t="b">
        <f>AND(CagrTable[[#This Row],[Visible]],NOT(CagrTable[[#This Row],[Is Open]]),NOT(CagrTable[[#This Row],[Plug Type]] = "MC"),CagrTable[[#This Row],[Position]]&lt;&gt;"DIV")</f>
        <v>1</v>
      </c>
      <c r="BC12" s="193">
        <f>IF(AND(CagrTable[[#This Row],[Visible]], CagrTable[[#This Row],[Plug Type]] = "MC"), CagrTable[[#This Row],[Basis]], 0)</f>
        <v>0</v>
      </c>
      <c r="BD12" s="182">
        <f>IF(CagrTable[[#This Row],[Is PLUG]], 0, CagrTable[[#This Row],[Proceeds]] - CagrTable[[#This Row],[Basis]])</f>
        <v>-0.52000000000043656</v>
      </c>
      <c r="BE12" s="180">
        <f>IF(AND(OR(CagrTable[[#This Row],[Is Short Call]],CagrTable[[#This Row],[Is Short Put]])), CagrTable[[#This Row],[Proceeds]], 0)</f>
        <v>0</v>
      </c>
      <c r="BF12" s="180">
        <f>IF(AND(OR(CagrTable[[#This Row],[Is Short Call]],CagrTable[[#This Row],[Is Short Put]])), CagrTable[[#This Row],[Basis]], 0)</f>
        <v>0</v>
      </c>
      <c r="BG12" s="173">
        <f>IF(CagrTable[[#This Row],[Covered Short Share Equivalent]] &gt; 0,-1 * CagrTable[[#This Row],[Premium Input]] / CagrTable[[#This Row],[Covered Short Share Equivalent]], 0)</f>
        <v>0</v>
      </c>
      <c r="BH12" s="173">
        <f>IF(CagrTable[[#This Row],[Covered Short Share Equivalent]] &gt; 0, CagrTable[[#This Row],[Premium Offset Input]] / CagrTable[[#This Row],[Covered Short Share Equivalent]], 0)</f>
        <v>0</v>
      </c>
      <c r="BI12" s="173">
        <f>SUM(CagrTable[[#This Row],[Premium ACB]:[Premium Offset ACB]])</f>
        <v>0</v>
      </c>
      <c r="BJ12" s="173">
        <f>IF(CagrTable[[#This Row],[Is Naked Short]],-1 * CagrTable[[#This Row],[Strike Price]] - (CagrTable[[#This Row],[Proceeds]] / CagrTable[[#This Row],[Naked Short Share Equivalent]]), 0)</f>
        <v>0</v>
      </c>
      <c r="BK12" s="173">
        <f>IF(CagrTable[[#This Row],[Is Short Put]], CagrTable[[#This Row],[Strike Price]] + CagrTable[[#This Row],[Net Short Premium ACB]], 0)</f>
        <v>0</v>
      </c>
      <c r="BL12" s="173">
        <f>IF(AND(CagrTable[[#This Row],[Is Long Call]], NOT(CagrTable[[#This Row],[Is PLUG]])), -1 * CagrTable[[#This Row],[P&amp;L]]/(CagrTable[[#This Row],[Qty]] * 100), 0)</f>
        <v>0</v>
      </c>
      <c r="BM12" s="173">
        <f>IF(AND(NOT(CagrTable[[#This Row],[Is Option]]), NOT(CagrTable[[#This Row],[Is PLUG]]), CagrTable[[#This Row],[Is Open]]), -CagrTable[[#This Row],[P&amp;L]]/CagrTable[[#This Row],[Qty]], 0)</f>
        <v>0</v>
      </c>
      <c r="BN12" s="173" t="b">
        <f>AND(_Total_ACB_Shares&lt;&gt;0, NOT(CagrTable[[#This Row],[Is PLUG]]))</f>
        <v>0</v>
      </c>
      <c r="BO12" s="173">
        <f>IF(OR(_Total_ACB_Shares=0, CagrTable[[#This Row],[Is PLUG]]), 0, (CagrTable[[#This Row],[ACB]] * CagrTable[[#This Row],[Qty]] * IF(CagrTable[[#This Row],[Is Option]], 100, 1))/ _Total_ACB_Shares)</f>
        <v>0</v>
      </c>
      <c r="BP12" s="184">
        <f>IF(_Total_ACB_Shares &lt; 0, -1, 1)</f>
        <v>1</v>
      </c>
      <c r="BQ12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0</v>
      </c>
      <c r="BR12" s="174">
        <f>CagrTable[[#This Row],[Prelim Weighted ACB]] * CagrTable[[#This Row],[ACB Sign]]</f>
        <v>0</v>
      </c>
      <c r="BS12" s="62">
        <f>CagrTable[[#This Row],[Proceeds]] - CagrTable[[#This Row],[Basis]]</f>
        <v>-0.52000000000043656</v>
      </c>
      <c r="BT12" s="91" t="s">
        <v>84</v>
      </c>
      <c r="BU12" s="63" t="s">
        <v>62</v>
      </c>
      <c r="BV12" s="63" t="s">
        <v>81</v>
      </c>
      <c r="BW12" s="63" t="s">
        <v>66</v>
      </c>
      <c r="BX12" s="27"/>
      <c r="BY12" s="58">
        <v>0</v>
      </c>
      <c r="BZ12" s="58">
        <v>250</v>
      </c>
      <c r="CA12" s="100">
        <v>46190.666666666664</v>
      </c>
      <c r="CB12" s="58">
        <v>0</v>
      </c>
      <c r="CC12" s="58">
        <v>0</v>
      </c>
      <c r="CD12" s="65">
        <v>-1</v>
      </c>
      <c r="CE12" s="83"/>
      <c r="CF12" s="66" t="s">
        <v>64</v>
      </c>
      <c r="CG12" s="58">
        <v>25</v>
      </c>
      <c r="CH12" s="66" t="s">
        <v>355</v>
      </c>
      <c r="CI12" s="66"/>
      <c r="CJ12" s="66"/>
      <c r="CK12" s="58">
        <v>0</v>
      </c>
      <c r="CL12" s="58">
        <v>250</v>
      </c>
      <c r="CM12" s="64">
        <v>46255.75</v>
      </c>
      <c r="CN12" s="58">
        <v>0</v>
      </c>
      <c r="CO12" s="58">
        <v>0</v>
      </c>
      <c r="CP12" s="67">
        <v>-1</v>
      </c>
      <c r="CQ12" s="82"/>
      <c r="CR12" s="58" t="s">
        <v>64</v>
      </c>
      <c r="CS12" s="58">
        <v>250</v>
      </c>
      <c r="CT12" s="66" t="s">
        <v>463</v>
      </c>
      <c r="CU12" s="73"/>
      <c r="CV12" s="181" t="s">
        <v>354</v>
      </c>
      <c r="CW12" s="1"/>
      <c r="DC12" s="19"/>
      <c r="DL12" s="13"/>
    </row>
    <row r="13" spans="1:116" ht="12.75" hidden="1" customHeight="1">
      <c r="A13" s="69" t="s">
        <v>96</v>
      </c>
      <c r="B13" s="189" t="s">
        <v>60</v>
      </c>
      <c r="C13" s="88">
        <v>100</v>
      </c>
      <c r="D13" s="70">
        <v>8</v>
      </c>
      <c r="E13" s="1" t="str">
        <f>CONCATENATE(CagrTable[[#This Row],[Symbol]], CagrTable[[#This Row],[ID]])</f>
        <v>BA8</v>
      </c>
      <c r="F13" s="55"/>
      <c r="G13" s="56">
        <v>46191.527060185188</v>
      </c>
      <c r="H13" s="58">
        <v>22261.360000000001</v>
      </c>
      <c r="I13" s="57">
        <f>IF(ISNUMBER(CagrTable[[#This Row],[Qty]]),CagrTable[[#This Row],[Basis]] /CagrTable[[#This Row],[Qty]], "")</f>
        <v>222.61360000000002</v>
      </c>
      <c r="J13" s="56">
        <v>46191.600844907407</v>
      </c>
      <c r="K13" s="58">
        <v>0</v>
      </c>
      <c r="L13" s="78">
        <f>IF(ISNUMBER(CagrTable[[#This Row],[Qty]]),CagrTable[[#This Row],[Proceeds]] / CagrTable[[#This Row],[Qty]], "")</f>
        <v>0</v>
      </c>
      <c r="M13" s="77">
        <f>IF(CagrTable[[#This Row],[Is Open]], CagrTable[[#This Row],[Date Opened]], CagrTable[[#This Row],[Date Closed]])</f>
        <v>46191.527060185188</v>
      </c>
      <c r="N13" s="101"/>
      <c r="O13"/>
      <c r="P13" s="177"/>
      <c r="Q13" s="176"/>
      <c r="R13" s="71">
        <f>IF(CagrTable[[#This Row],[Sell Date]]=CagrTable[[#This Row],[Acquire Date]], 1, ABS(CagrTable[[#This Row],[Sell Date]] - CagrTable[[#This Row],[Acquire Date]]))</f>
        <v>7.3784722218988463E-2</v>
      </c>
      <c r="S13" s="59">
        <f>CagrTable[[#This Row],[Days Held]] / 30</f>
        <v>2.4594907406329486E-3</v>
      </c>
      <c r="T13" s="178">
        <v>0</v>
      </c>
      <c r="U13" s="179"/>
      <c r="V13" s="158"/>
      <c r="W13" s="60"/>
      <c r="X13" s="75"/>
      <c r="Y13" s="61"/>
      <c r="Z13" s="85" t="str">
        <f>IF(OR(CagrTable[[#This Row],[Is Closed]]="", CagrTable[[#This Row],[Is Closed]]="H"),"Y","")</f>
        <v>Y</v>
      </c>
      <c r="AA13" s="85" t="str">
        <f>IF(OR(CagrTable[[#This Row],[Position]]="LNG",CagrTable[[#This Row],[Position]]="SHRT"),"Equity","Option")</f>
        <v>Equity</v>
      </c>
      <c r="AB13" s="84" t="str">
        <f>IF(CagrTable[[#This Row],[Pricing Update Included]]="Y",IF(CagrTable[[#This Row],[Pricing Update Asset]]="Equity",CagrTable[[#This Row],[Symbol]],CagrTable[[#This Row],[Option Symbol]]),"")</f>
        <v>BA</v>
      </c>
      <c r="AC13" s="80">
        <f>SUBTOTAL(103,CagrTable[[#This Row],[Symbol]])</f>
        <v>0</v>
      </c>
      <c r="AD13" s="80" t="b">
        <f>LEFT(CagrTable[[#This Row],[Position]],1)="L"</f>
        <v>1</v>
      </c>
      <c r="AE13" s="80" t="b">
        <f>LEFT(CagrTable[[#This Row],[Position]],1)="S"</f>
        <v>0</v>
      </c>
      <c r="AF13" s="80" t="b">
        <f>(CagrTable[[#This Row],[Position]] = "DIV")</f>
        <v>0</v>
      </c>
      <c r="AG13" s="80" t="b">
        <f>CagrTable[[#This Row],[Position]] = "PLUG"</f>
        <v>0</v>
      </c>
      <c r="AH13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0</v>
      </c>
      <c r="AI13" s="80" t="b">
        <f>CagrTable[[#This Row],[Is Closed]] &lt;&gt; "Y"</f>
        <v>1</v>
      </c>
      <c r="AJ13" s="84" t="b">
        <f>OR(CagrTable[[#This Row],[Option Type]]&lt;&gt;"",
  CagrTable[[#This Row],[Position]]="LC", CagrTable[[#This Row],[Position]]="SC",
  CagrTable[[#This Row],[Position]]="LP",CagrTable[[#This Row],[Position]]="SP"
)</f>
        <v>0</v>
      </c>
      <c r="AK13" s="84" t="b">
        <f>AND(CagrTable[[#This Row],[Option Type]] = "C", CagrTable[[#This Row],[Is Short]])</f>
        <v>0</v>
      </c>
      <c r="AL13" s="84" t="b">
        <f>AND(CagrTable[[#This Row],[Is Short Call]],CagrTable[[#This Row],[Is Naked Call]] = TRUE)</f>
        <v>0</v>
      </c>
      <c r="AM13" s="84" t="b">
        <f>AND(CagrTable[[#This Row],[Option Type]] = "P", CagrTable[[#This Row],[Is Short]])</f>
        <v>0</v>
      </c>
      <c r="AN13" s="84" t="b">
        <f>CagrTable[[#This Row],[Position]]= "LC"</f>
        <v>0</v>
      </c>
      <c r="AO13" s="169">
        <f>IF(AND(CagrTable[[#This Row],[Is Long]], NOT(CagrTable[[#This Row],[Position]]="LP")), CagrTable[[#This Row],[Qty]] * IF(CagrTable[[#This Row],[Is Option]], 100, 1), 0)</f>
        <v>100</v>
      </c>
      <c r="AP13" s="169">
        <f>IF(CagrTable[[#This Row],[Is Naked Short]], CagrTable[[#This Row],[Qty]] * -100, 0)</f>
        <v>0</v>
      </c>
      <c r="AQ13" s="169">
        <f>IF(CagrTable[[#This Row],[Is ACB Put]], CagrTable[[#This Row],[Qty]] * -100, 0)</f>
        <v>0</v>
      </c>
      <c r="AR13" s="169">
        <f>IF(AND(CagrTable[[#This Row],[Is Short]], NOT(CagrTable[[#This Row],[Is Naked Short]])), CagrTable[[#This Row],[Qty]] * IF(CagrTable[[#This Row],[Is Option]], 100, 1), 0)</f>
        <v>0</v>
      </c>
      <c r="AS13" s="169">
        <f>SUM(CagrTable[[#This Row],[Long Share Equivalent]:[Covered Short Share Equivalent]])</f>
        <v>100</v>
      </c>
      <c r="AT13" s="169">
        <f>IF(CagrTable[[#This Row],[Is Open]], SUM(CagrTable[[#This Row],[Long Share Equivalent]:[ACB Put Share Equivalent]]), 0)</f>
        <v>100</v>
      </c>
      <c r="AU13" s="166">
        <f>IF(OR(CagrTable[[#This Row],[Is Long]], CagrTable[[#This Row],[Is DIV]]), CagrTable[[#This Row],[Acquire Date]], CagrTable[[#This Row],[Sell Date]])</f>
        <v>46191.527060185188</v>
      </c>
      <c r="AV13" s="166">
        <f>IF(NOT(CagrTable[[#This Row],[Is Option]]), IF(OR(CagrTable[[#This Row],[Is Long]], CagrTable[[#This Row],[Is DIV]]), CagrTable[[#This Row],[Sell Date]], CagrTable[[#This Row],[Acquire Date]]), "")</f>
        <v>46191.600844907407</v>
      </c>
      <c r="AW13" s="166" t="str">
        <f>IF(AND(CagrTable[[#This Row],[Is Option]], CagrTable[[#This Row],[Is Open]]), IF(CagrTable[[#This Row],[Is Long Call]], CagrTable[[#This Row],[Exp Date]], MIN(MockToday, CagrTable[[#This Row],[Exp Date]])), "")</f>
        <v/>
      </c>
      <c r="AX13" s="166" t="str">
        <f>IF(AND(CagrTable[[#This Row],[Is Option]], NOT(CagrTable[[#This Row],[Is Open]])), IF(CagrTable[[#This Row],[Is Long]], CagrTable[[#This Row],[Sell Date]], CagrTable[[#This Row],[Acquire Date]]), "")</f>
        <v/>
      </c>
      <c r="AY13" s="166" cm="1">
        <f t="array" ref="AY13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46191.600844907407</v>
      </c>
      <c r="AZ13" s="80" t="b">
        <f>IF(AND(CagrTable[[#This Row],[Visible]], CagrTable[[#This Row],[Is Open]]), OR(CagrTable[[#This Row],[Is Long]], AND(CagrTable[[#This Row],[Is Short]], CagrTable[[#This Row],[Is Naked Call]])), FALSE)</f>
        <v>0</v>
      </c>
      <c r="BA13" s="80" t="b">
        <f>AND(CagrTable[[#This Row],[Visible]], OR(NOT(CagrTable[[#This Row],[Is PLUG]]), CagrTable[[#This Row],[Plug Type]] = "MTM"))</f>
        <v>0</v>
      </c>
      <c r="BB13" s="80" t="b">
        <f>AND(CagrTable[[#This Row],[Visible]],NOT(CagrTable[[#This Row],[Is Open]]),NOT(CagrTable[[#This Row],[Plug Type]] = "MC"),CagrTable[[#This Row],[Position]]&lt;&gt;"DIV")</f>
        <v>0</v>
      </c>
      <c r="BC13" s="193">
        <f>IF(AND(CagrTable[[#This Row],[Visible]], CagrTable[[#This Row],[Plug Type]] = "MC"), CagrTable[[#This Row],[Basis]], 0)</f>
        <v>0</v>
      </c>
      <c r="BD13" s="182">
        <f>IF(CagrTable[[#This Row],[Is PLUG]], 0, CagrTable[[#This Row],[Proceeds]] - CagrTable[[#This Row],[Basis]])</f>
        <v>-22261.360000000001</v>
      </c>
      <c r="BE13" s="180">
        <f>IF(AND(OR(CagrTable[[#This Row],[Is Short Call]],CagrTable[[#This Row],[Is Short Put]])), CagrTable[[#This Row],[Proceeds]], 0)</f>
        <v>0</v>
      </c>
      <c r="BF13" s="180">
        <f>IF(AND(OR(CagrTable[[#This Row],[Is Short Call]],CagrTable[[#This Row],[Is Short Put]])), CagrTable[[#This Row],[Basis]], 0)</f>
        <v>0</v>
      </c>
      <c r="BG13" s="173">
        <f>IF(CagrTable[[#This Row],[Covered Short Share Equivalent]] &gt; 0,-1 * CagrTable[[#This Row],[Premium Input]] / CagrTable[[#This Row],[Covered Short Share Equivalent]], 0)</f>
        <v>0</v>
      </c>
      <c r="BH13" s="173">
        <f>IF(CagrTable[[#This Row],[Covered Short Share Equivalent]] &gt; 0, CagrTable[[#This Row],[Premium Offset Input]] / CagrTable[[#This Row],[Covered Short Share Equivalent]], 0)</f>
        <v>0</v>
      </c>
      <c r="BI13" s="173">
        <f>SUM(CagrTable[[#This Row],[Premium ACB]:[Premium Offset ACB]])</f>
        <v>0</v>
      </c>
      <c r="BJ13" s="173">
        <f>IF(CagrTable[[#This Row],[Is Naked Short]],-1 * CagrTable[[#This Row],[Strike Price]] - (CagrTable[[#This Row],[Proceeds]] / CagrTable[[#This Row],[Naked Short Share Equivalent]]), 0)</f>
        <v>0</v>
      </c>
      <c r="BK13" s="173">
        <f>IF(CagrTable[[#This Row],[Is Short Put]], CagrTable[[#This Row],[Strike Price]] + CagrTable[[#This Row],[Net Short Premium ACB]], 0)</f>
        <v>0</v>
      </c>
      <c r="BL13" s="173">
        <f>IF(AND(CagrTable[[#This Row],[Is Long Call]], NOT(CagrTable[[#This Row],[Is PLUG]])), -1 * CagrTable[[#This Row],[P&amp;L]]/(CagrTable[[#This Row],[Qty]] * 100), 0)</f>
        <v>0</v>
      </c>
      <c r="BM13" s="173">
        <f>IF(AND(NOT(CagrTable[[#This Row],[Is Option]]), NOT(CagrTable[[#This Row],[Is PLUG]]), OR(CagrTable[[#This Row],[Is Open]], CagrTable[[#This Row],[Is DIV]]), N(CagrTable[[#This Row],[Qty]])&lt;&gt;0), -CagrTable[[#This Row],[P&amp;L]]/CagrTable[[#This Row],[Qty]], 0)</f>
        <v>222.61360000000002</v>
      </c>
      <c r="BN13" s="173" t="b">
        <f>AND(_Total_ACB_Shares&lt;&gt;0, NOT(CagrTable[[#This Row],[Is PLUG]]))</f>
        <v>0</v>
      </c>
      <c r="BO13" s="173">
        <f>IF(OR(_Total_ACB_Shares=0, CagrTable[[#This Row],[Is PLUG]]), 0, (CagrTable[[#This Row],[ACB]] * CagrTable[[#This Row],[Qty]] * IF(CagrTable[[#This Row],[Is Option]], 100, 1))/ _Total_ACB_Shares)</f>
        <v>0</v>
      </c>
      <c r="BP13" s="184">
        <f t="shared" ref="BP13:BP20" si="0">IF(_Total_ACB_Shares &lt; 0, -1, 1)</f>
        <v>1</v>
      </c>
      <c r="BQ13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222.61360000000002</v>
      </c>
      <c r="BR13" s="174">
        <f>CagrTable[[#This Row],[Prelim Weighted ACB]] * CagrTable[[#This Row],[ACB Sign]]</f>
        <v>0</v>
      </c>
      <c r="BS13" s="62">
        <f>CagrTable[[#This Row],[Proceeds]] - CagrTable[[#This Row],[Basis]]</f>
        <v>-22261.360000000001</v>
      </c>
      <c r="BT13" s="91" t="s">
        <v>80</v>
      </c>
      <c r="BU13" s="63" t="s">
        <v>62</v>
      </c>
      <c r="BV13" s="63" t="s">
        <v>301</v>
      </c>
      <c r="BW13" s="63" t="s">
        <v>273</v>
      </c>
      <c r="BX13" s="27"/>
      <c r="BY13" s="58">
        <v>0</v>
      </c>
      <c r="BZ13" s="58">
        <v>222.61359999999999</v>
      </c>
      <c r="CA13" s="100">
        <v>46191.527060185188</v>
      </c>
      <c r="CB13" s="58">
        <v>228.99</v>
      </c>
      <c r="CC13" s="58">
        <v>220.12</v>
      </c>
      <c r="CD13" s="65">
        <v>71</v>
      </c>
      <c r="CE13" s="82"/>
      <c r="CF13" s="66" t="s">
        <v>73</v>
      </c>
      <c r="CG13" s="58"/>
      <c r="CH13" s="66" t="s">
        <v>93</v>
      </c>
      <c r="CI13" s="66"/>
      <c r="CJ13" s="66"/>
      <c r="CK13" s="58"/>
      <c r="CL13" s="58"/>
      <c r="CM13" s="64"/>
      <c r="CN13" s="58"/>
      <c r="CO13" s="58"/>
      <c r="CP13" s="67"/>
      <c r="CQ13" s="82"/>
      <c r="CR13" s="58"/>
      <c r="CS13" s="58"/>
      <c r="CT13" s="66"/>
      <c r="CU13" s="68"/>
      <c r="CV13" s="181" t="s">
        <v>360</v>
      </c>
      <c r="CW13" s="1"/>
      <c r="DC13" s="19"/>
      <c r="DL13" s="13"/>
    </row>
    <row r="14" spans="1:116" ht="12.75" hidden="1" customHeight="1">
      <c r="A14" s="69" t="s">
        <v>96</v>
      </c>
      <c r="B14" s="189" t="s">
        <v>67</v>
      </c>
      <c r="C14" s="88">
        <v>1</v>
      </c>
      <c r="D14" s="70">
        <v>8</v>
      </c>
      <c r="E14" s="1" t="str">
        <f>CONCATENATE(CagrTable[[#This Row],[Symbol]], CagrTable[[#This Row],[ID]])</f>
        <v>BA8</v>
      </c>
      <c r="F14" s="55" t="s">
        <v>61</v>
      </c>
      <c r="G14" s="56">
        <v>46213.729166666664</v>
      </c>
      <c r="H14" s="58">
        <v>0</v>
      </c>
      <c r="I14" s="57">
        <f>IF(ISNUMBER(CagrTable[[#This Row],[Qty]]),CagrTable[[#This Row],[Basis]] /CagrTable[[#This Row],[Qty]], "")</f>
        <v>0</v>
      </c>
      <c r="J14" s="56">
        <v>46209.437592592592</v>
      </c>
      <c r="K14" s="58">
        <v>140.34</v>
      </c>
      <c r="L14" s="78">
        <f>IF(ISNUMBER(CagrTable[[#This Row],[Qty]]),CagrTable[[#This Row],[Proceeds]] / CagrTable[[#This Row],[Qty]], "")</f>
        <v>140.34</v>
      </c>
      <c r="M14" s="77">
        <f>IF(CagrTable[[#This Row],[Is Open]], CagrTable[[#This Row],[Date Opened]], CagrTable[[#This Row],[Date Closed]])</f>
        <v>46213.729166666664</v>
      </c>
      <c r="N14" s="101"/>
      <c r="O14"/>
      <c r="P14" s="177"/>
      <c r="Q14" s="176"/>
      <c r="R14" s="71">
        <f>IF(CagrTable[[#This Row],[Sell Date]]=CagrTable[[#This Row],[Acquire Date]], 1, ABS(CagrTable[[#This Row],[Sell Date]] - CagrTable[[#This Row],[Acquire Date]]))</f>
        <v>4.291574074071832</v>
      </c>
      <c r="S14" s="72">
        <f>CagrTable[[#This Row],[Days Held]] / 30</f>
        <v>0.14305246913572772</v>
      </c>
      <c r="T14" s="178">
        <v>0.66</v>
      </c>
      <c r="U14" s="179"/>
      <c r="V14" s="158">
        <v>46213.729166666664</v>
      </c>
      <c r="W14" s="60">
        <v>137.5</v>
      </c>
      <c r="X14" s="75" t="s">
        <v>68</v>
      </c>
      <c r="Y14" s="61" t="s">
        <v>395</v>
      </c>
      <c r="Z14" s="85" t="str">
        <f>IF(OR(CagrTable[[#This Row],[Is Closed]]="", CagrTable[[#This Row],[Is Closed]]="H"),"Y","")</f>
        <v/>
      </c>
      <c r="AA14" s="85" t="str">
        <f>IF(OR(CagrTable[[#This Row],[Position]]="LNG",CagrTable[[#This Row],[Position]]="SHRT"),"Equity","Option")</f>
        <v>Option</v>
      </c>
      <c r="AB14" s="84" t="str">
        <f>IF(CagrTable[[#This Row],[Pricing Update Included]]="Y",IF(CagrTable[[#This Row],[Pricing Update Asset]]="Equity",CagrTable[[#This Row],[Symbol]],CagrTable[[#This Row],[Option Symbol]]),"")</f>
        <v/>
      </c>
      <c r="AC14" s="80">
        <f>SUBTOTAL(103,CagrTable[[#This Row],[Symbol]])</f>
        <v>0</v>
      </c>
      <c r="AD14" s="80" t="b">
        <f>LEFT(CagrTable[[#This Row],[Position]],1)="L"</f>
        <v>0</v>
      </c>
      <c r="AE14" s="80" t="b">
        <f>LEFT(CagrTable[[#This Row],[Position]],1)="S"</f>
        <v>1</v>
      </c>
      <c r="AF14" s="80" t="b">
        <f>(CagrTable[[#This Row],[Position]] = "DIV")</f>
        <v>0</v>
      </c>
      <c r="AG14" s="80" t="b">
        <f>CagrTable[[#This Row],[Position]] = "PLUG"</f>
        <v>0</v>
      </c>
      <c r="AH14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0</v>
      </c>
      <c r="AI14" s="80" t="b">
        <f>CagrTable[[#This Row],[Is Closed]] &lt;&gt; "Y"</f>
        <v>0</v>
      </c>
      <c r="AJ14" s="84" t="b">
        <f>OR(CagrTable[[#This Row],[Option Type]]&lt;&gt;"",
  CagrTable[[#This Row],[Position]]="LC", CagrTable[[#This Row],[Position]]="SC",
  CagrTable[[#This Row],[Position]]="LP",CagrTable[[#This Row],[Position]]="SP"
)</f>
        <v>1</v>
      </c>
      <c r="AK14" s="84" t="b">
        <f>AND(CagrTable[[#This Row],[Option Type]] = "C", CagrTable[[#This Row],[Is Short]])</f>
        <v>1</v>
      </c>
      <c r="AL14" s="84" t="b">
        <f>AND(CagrTable[[#This Row],[Is Short Call]],CagrTable[[#This Row],[Is Naked Call]] = TRUE)</f>
        <v>0</v>
      </c>
      <c r="AM14" s="84" t="b">
        <f>AND(CagrTable[[#This Row],[Option Type]] = "P", CagrTable[[#This Row],[Is Short]])</f>
        <v>0</v>
      </c>
      <c r="AN14" s="84" t="b">
        <f>CagrTable[[#This Row],[Position]]= "LC"</f>
        <v>0</v>
      </c>
      <c r="AO14" s="169">
        <f>IF(AND(CagrTable[[#This Row],[Is Long]], NOT(CagrTable[[#This Row],[Position]]="LP")), CagrTable[[#This Row],[Qty]] * IF(CagrTable[[#This Row],[Is Option]], 100, 1), 0)</f>
        <v>0</v>
      </c>
      <c r="AP14" s="169">
        <f>IF(CagrTable[[#This Row],[Is Naked Short]], CagrTable[[#This Row],[Qty]] * -100, 0)</f>
        <v>0</v>
      </c>
      <c r="AQ14" s="169">
        <f>IF(CagrTable[[#This Row],[Is ACB Put]], CagrTable[[#This Row],[Qty]] * -100, 0)</f>
        <v>0</v>
      </c>
      <c r="AR14" s="169">
        <f>IF(AND(CagrTable[[#This Row],[Is Short]], NOT(CagrTable[[#This Row],[Is Naked Short]])), CagrTable[[#This Row],[Qty]] * IF(CagrTable[[#This Row],[Is Option]], 100, 1), 0)</f>
        <v>100</v>
      </c>
      <c r="AS14" s="169">
        <f>SUM(CagrTable[[#This Row],[Long Share Equivalent]:[Covered Short Share Equivalent]])</f>
        <v>100</v>
      </c>
      <c r="AT14" s="169">
        <f>IF(CagrTable[[#This Row],[Is Open]], SUM(CagrTable[[#This Row],[Long Share Equivalent]:[ACB Put Share Equivalent]]), 0)</f>
        <v>0</v>
      </c>
      <c r="AU14" s="166">
        <f>IF(OR(CagrTable[[#This Row],[Is Long]], CagrTable[[#This Row],[Is DIV]]), CagrTable[[#This Row],[Acquire Date]], CagrTable[[#This Row],[Sell Date]])</f>
        <v>46209.437592592592</v>
      </c>
      <c r="AV14" s="166" t="str">
        <f>IF(NOT(CagrTable[[#This Row],[Is Option]]), IF(OR(CagrTable[[#This Row],[Is Long]], CagrTable[[#This Row],[Is DIV]]), CagrTable[[#This Row],[Sell Date]], CagrTable[[#This Row],[Acquire Date]]), "")</f>
        <v/>
      </c>
      <c r="AW14" s="166" t="str">
        <f>IF(AND(CagrTable[[#This Row],[Is Option]], CagrTable[[#This Row],[Is Open]]), IF(CagrTable[[#This Row],[Is Long Call]], CagrTable[[#This Row],[Exp Date]], MIN(MockToday, CagrTable[[#This Row],[Exp Date]])), "")</f>
        <v/>
      </c>
      <c r="AX14" s="166">
        <f>IF(AND(CagrTable[[#This Row],[Is Option]], NOT(CagrTable[[#This Row],[Is Open]])), IF(CagrTable[[#This Row],[Is Long]], CagrTable[[#This Row],[Sell Date]], CagrTable[[#This Row],[Acquire Date]]), "")</f>
        <v>46213.729166666664</v>
      </c>
      <c r="AY14" s="166" cm="1">
        <f t="array" ref="AY14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46213.729166666664</v>
      </c>
      <c r="AZ14" s="80" t="b">
        <f>IF(AND(CagrTable[[#This Row],[Visible]], CagrTable[[#This Row],[Is Open]]), OR(CagrTable[[#This Row],[Is Long]], AND(CagrTable[[#This Row],[Is Short]], CagrTable[[#This Row],[Is Naked Call]])), FALSE)</f>
        <v>0</v>
      </c>
      <c r="BA14" s="80" t="b">
        <f>AND(CagrTable[[#This Row],[Visible]], OR(NOT(CagrTable[[#This Row],[Is PLUG]]), CagrTable[[#This Row],[Plug Type]] = "MTM"))</f>
        <v>0</v>
      </c>
      <c r="BB14" s="80" t="b">
        <f>AND(CagrTable[[#This Row],[Visible]],NOT(CagrTable[[#This Row],[Is Open]]),NOT(CagrTable[[#This Row],[Plug Type]] = "MC"),CagrTable[[#This Row],[Position]]&lt;&gt;"DIV")</f>
        <v>0</v>
      </c>
      <c r="BC14" s="193">
        <f>IF(AND(CagrTable[[#This Row],[Visible]], CagrTable[[#This Row],[Plug Type]] = "MC"), CagrTable[[#This Row],[Basis]], 0)</f>
        <v>0</v>
      </c>
      <c r="BD14" s="182">
        <f>IF(CagrTable[[#This Row],[Is PLUG]], 0, CagrTable[[#This Row],[Proceeds]] - CagrTable[[#This Row],[Basis]])</f>
        <v>140.34</v>
      </c>
      <c r="BE14" s="180">
        <f>IF(AND(OR(CagrTable[[#This Row],[Is Short Call]],CagrTable[[#This Row],[Is Short Put]])), CagrTable[[#This Row],[Proceeds]], 0)</f>
        <v>140.34</v>
      </c>
      <c r="BF14" s="180">
        <f>IF(AND(OR(CagrTable[[#This Row],[Is Short Call]],CagrTable[[#This Row],[Is Short Put]])), CagrTable[[#This Row],[Basis]], 0)</f>
        <v>0</v>
      </c>
      <c r="BG14" s="173">
        <f>IF(CagrTable[[#This Row],[Covered Short Share Equivalent]] &gt; 0,-1 * CagrTable[[#This Row],[Premium Input]] / CagrTable[[#This Row],[Covered Short Share Equivalent]], 0)</f>
        <v>-1.4034</v>
      </c>
      <c r="BH14" s="173">
        <f>IF(CagrTable[[#This Row],[Covered Short Share Equivalent]] &gt; 0, CagrTable[[#This Row],[Premium Offset Input]] / CagrTable[[#This Row],[Covered Short Share Equivalent]], 0)</f>
        <v>0</v>
      </c>
      <c r="BI14" s="173">
        <f>SUM(CagrTable[[#This Row],[Premium ACB]:[Premium Offset ACB]])</f>
        <v>-1.4034</v>
      </c>
      <c r="BJ14" s="173">
        <f>IF(CagrTable[[#This Row],[Is Naked Short]],-1 * CagrTable[[#This Row],[Strike Price]] - (CagrTable[[#This Row],[Proceeds]] / CagrTable[[#This Row],[Naked Short Share Equivalent]]), 0)</f>
        <v>0</v>
      </c>
      <c r="BK14" s="173">
        <f>IF(CagrTable[[#This Row],[Is Short Put]], CagrTable[[#This Row],[Strike Price]] + CagrTable[[#This Row],[Net Short Premium ACB]], 0)</f>
        <v>0</v>
      </c>
      <c r="BL14" s="173">
        <f>IF(AND(CagrTable[[#This Row],[Is Long Call]], NOT(CagrTable[[#This Row],[Is PLUG]])), -1 * CagrTable[[#This Row],[P&amp;L]]/(CagrTable[[#This Row],[Qty]] * 100), 0)</f>
        <v>0</v>
      </c>
      <c r="BM14" s="173">
        <f>IF(AND(NOT(CagrTable[[#This Row],[Is Option]]), NOT(CagrTable[[#This Row],[Is PLUG]]), OR(CagrTable[[#This Row],[Is Open]], CagrTable[[#This Row],[Is DIV]]), N(CagrTable[[#This Row],[Qty]])&lt;&gt;0), -CagrTable[[#This Row],[P&amp;L]]/CagrTable[[#This Row],[Qty]], 0)</f>
        <v>0</v>
      </c>
      <c r="BN14" s="173" t="b">
        <f>AND(_Total_ACB_Shares&lt;&gt;0, NOT(CagrTable[[#This Row],[Is PLUG]]))</f>
        <v>0</v>
      </c>
      <c r="BO14" s="173">
        <f>IF(OR(_Total_ACB_Shares=0, CagrTable[[#This Row],[Is PLUG]]), 0, (CagrTable[[#This Row],[ACB]] * CagrTable[[#This Row],[Qty]] * IF(CagrTable[[#This Row],[Is Option]], 100, 1))/ _Total_ACB_Shares)</f>
        <v>0</v>
      </c>
      <c r="BP14" s="184">
        <f t="shared" si="0"/>
        <v>1</v>
      </c>
      <c r="BQ14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-1.4034</v>
      </c>
      <c r="BR14" s="174">
        <f>CagrTable[[#This Row],[Prelim Weighted ACB]] * CagrTable[[#This Row],[ACB Sign]]</f>
        <v>0</v>
      </c>
      <c r="BS14" s="62">
        <f>CagrTable[[#This Row],[Proceeds]] - CagrTable[[#This Row],[Basis]]</f>
        <v>140.34</v>
      </c>
      <c r="BT14" s="91" t="s">
        <v>80</v>
      </c>
      <c r="BU14" s="63" t="s">
        <v>62</v>
      </c>
      <c r="BV14" s="63" t="s">
        <v>71</v>
      </c>
      <c r="BW14" s="63" t="s">
        <v>87</v>
      </c>
      <c r="BX14" s="27"/>
      <c r="BY14" s="58">
        <v>231.5</v>
      </c>
      <c r="BZ14" s="58">
        <v>1.41</v>
      </c>
      <c r="CA14" s="100">
        <v>46209.437592592592</v>
      </c>
      <c r="CB14" s="58">
        <v>2.38</v>
      </c>
      <c r="CC14" s="58">
        <v>0.76</v>
      </c>
      <c r="CD14" s="65">
        <v>40</v>
      </c>
      <c r="CE14" s="83"/>
      <c r="CF14" s="66" t="s">
        <v>73</v>
      </c>
      <c r="CG14" s="58"/>
      <c r="CH14" s="66" t="s">
        <v>396</v>
      </c>
      <c r="CI14" s="66" t="s">
        <v>65</v>
      </c>
      <c r="CJ14" s="66"/>
      <c r="CK14" s="58">
        <v>222.28</v>
      </c>
      <c r="CL14" s="58">
        <v>0</v>
      </c>
      <c r="CM14" s="64">
        <v>46213.708333333336</v>
      </c>
      <c r="CN14" s="58">
        <v>0</v>
      </c>
      <c r="CO14" s="58">
        <v>0</v>
      </c>
      <c r="CP14" s="67">
        <v>0</v>
      </c>
      <c r="CQ14" s="82"/>
      <c r="CR14" s="58"/>
      <c r="CS14" s="58"/>
      <c r="CT14" s="66" t="s">
        <v>76</v>
      </c>
      <c r="CU14" s="73"/>
      <c r="CV14" s="181" t="s">
        <v>397</v>
      </c>
      <c r="CW14" s="1"/>
      <c r="DC14" s="19"/>
      <c r="DL14" s="13"/>
    </row>
    <row r="15" spans="1:116" ht="12.75" hidden="1" customHeight="1">
      <c r="A15" s="69" t="s">
        <v>96</v>
      </c>
      <c r="B15" s="189" t="s">
        <v>78</v>
      </c>
      <c r="C15" s="88">
        <v>1</v>
      </c>
      <c r="D15" s="70">
        <v>8</v>
      </c>
      <c r="E15" s="1" t="str">
        <f>CONCATENATE(CagrTable[[#This Row],[Symbol]], CagrTable[[#This Row],[ID]])</f>
        <v>BA8</v>
      </c>
      <c r="F15" s="55" t="s">
        <v>61</v>
      </c>
      <c r="G15" s="56">
        <v>46217.546006944445</v>
      </c>
      <c r="H15" s="58">
        <v>46.01</v>
      </c>
      <c r="I15" s="57">
        <f>IF(ISNUMBER(CagrTable[[#This Row],[Qty]]),CagrTable[[#This Row],[Basis]] /CagrTable[[#This Row],[Qty]], "")</f>
        <v>46.01</v>
      </c>
      <c r="J15" s="56">
        <v>46191.527175925927</v>
      </c>
      <c r="K15" s="58">
        <v>318.33</v>
      </c>
      <c r="L15" s="78">
        <f>IF(ISNUMBER(CagrTable[[#This Row],[Qty]]),CagrTable[[#This Row],[Proceeds]] / CagrTable[[#This Row],[Qty]], "")</f>
        <v>318.33</v>
      </c>
      <c r="M15" s="77">
        <f>IF(CagrTable[[#This Row],[Is Open]], CagrTable[[#This Row],[Date Opened]], CagrTable[[#This Row],[Date Closed]])</f>
        <v>46217.546006944445</v>
      </c>
      <c r="N15" s="101"/>
      <c r="O15"/>
      <c r="P15" s="177"/>
      <c r="Q15" s="176"/>
      <c r="R15" s="71">
        <f>IF(CagrTable[[#This Row],[Sell Date]]=CagrTable[[#This Row],[Acquire Date]], 1, ABS(CagrTable[[#This Row],[Sell Date]] - CagrTable[[#This Row],[Acquire Date]]))</f>
        <v>26.01883101851854</v>
      </c>
      <c r="S15" s="59">
        <f>CagrTable[[#This Row],[Days Held]] / 30</f>
        <v>0.86729436728395137</v>
      </c>
      <c r="T15" s="178">
        <v>0.67</v>
      </c>
      <c r="U15" s="179">
        <v>0.01</v>
      </c>
      <c r="V15" s="158">
        <v>46220.729166666664</v>
      </c>
      <c r="W15" s="60">
        <v>210</v>
      </c>
      <c r="X15" s="75" t="s">
        <v>83</v>
      </c>
      <c r="Y15" s="61" t="s">
        <v>361</v>
      </c>
      <c r="Z15" s="85" t="str">
        <f>IF(OR(CagrTable[[#This Row],[Is Closed]]="", CagrTable[[#This Row],[Is Closed]]="H"),"Y","")</f>
        <v/>
      </c>
      <c r="AA15" s="85" t="str">
        <f>IF(OR(CagrTable[[#This Row],[Position]]="LNG",CagrTable[[#This Row],[Position]]="SHRT"),"Equity","Option")</f>
        <v>Option</v>
      </c>
      <c r="AB15" s="84" t="str">
        <f>IF(CagrTable[[#This Row],[Pricing Update Included]]="Y",IF(CagrTable[[#This Row],[Pricing Update Asset]]="Equity",CagrTable[[#This Row],[Symbol]],CagrTable[[#This Row],[Option Symbol]]),"")</f>
        <v/>
      </c>
      <c r="AC15" s="80">
        <f>SUBTOTAL(103,CagrTable[[#This Row],[Symbol]])</f>
        <v>0</v>
      </c>
      <c r="AD15" s="80" t="b">
        <f>LEFT(CagrTable[[#This Row],[Position]],1)="L"</f>
        <v>0</v>
      </c>
      <c r="AE15" s="80" t="b">
        <f>LEFT(CagrTable[[#This Row],[Position]],1)="S"</f>
        <v>1</v>
      </c>
      <c r="AF15" s="80" t="b">
        <f>(CagrTable[[#This Row],[Position]] = "DIV")</f>
        <v>0</v>
      </c>
      <c r="AG15" s="80" t="b">
        <f>CagrTable[[#This Row],[Position]] = "PLUG"</f>
        <v>0</v>
      </c>
      <c r="AH15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0</v>
      </c>
      <c r="AI15" s="80" t="b">
        <f>CagrTable[[#This Row],[Is Closed]] &lt;&gt; "Y"</f>
        <v>0</v>
      </c>
      <c r="AJ15" s="84" t="b">
        <f>OR(CagrTable[[#This Row],[Option Type]]&lt;&gt;"",
  CagrTable[[#This Row],[Position]]="LC", CagrTable[[#This Row],[Position]]="SC",
  CagrTable[[#This Row],[Position]]="LP",CagrTable[[#This Row],[Position]]="SP"
)</f>
        <v>1</v>
      </c>
      <c r="AK15" s="84" t="b">
        <f>AND(CagrTable[[#This Row],[Option Type]] = "C", CagrTable[[#This Row],[Is Short]])</f>
        <v>0</v>
      </c>
      <c r="AL15" s="84" t="b">
        <f>AND(CagrTable[[#This Row],[Is Short Call]],CagrTable[[#This Row],[Is Naked Call]] = TRUE)</f>
        <v>0</v>
      </c>
      <c r="AM15" s="84" t="b">
        <f>AND(CagrTable[[#This Row],[Option Type]] = "P", CagrTable[[#This Row],[Is Short]])</f>
        <v>1</v>
      </c>
      <c r="AN15" s="84" t="b">
        <f>CagrTable[[#This Row],[Position]]= "LC"</f>
        <v>0</v>
      </c>
      <c r="AO15" s="169">
        <f>IF(AND(CagrTable[[#This Row],[Is Long]], NOT(CagrTable[[#This Row],[Position]]="LP")), CagrTable[[#This Row],[Qty]] * IF(CagrTable[[#This Row],[Is Option]], 100, 1), 0)</f>
        <v>0</v>
      </c>
      <c r="AP15" s="169">
        <f>IF(CagrTable[[#This Row],[Is Naked Short]], CagrTable[[#This Row],[Qty]] * -100, 0)</f>
        <v>0</v>
      </c>
      <c r="AQ15" s="169">
        <f>IF(CagrTable[[#This Row],[Is ACB Put]], CagrTable[[#This Row],[Qty]] * -100, 0)</f>
        <v>0</v>
      </c>
      <c r="AR15" s="169">
        <f>IF(AND(CagrTable[[#This Row],[Is Short]], NOT(CagrTable[[#This Row],[Is Naked Short]])), CagrTable[[#This Row],[Qty]] * IF(CagrTable[[#This Row],[Is Option]], 100, 1), 0)</f>
        <v>100</v>
      </c>
      <c r="AS15" s="169">
        <f>SUM(CagrTable[[#This Row],[Long Share Equivalent]:[Covered Short Share Equivalent]])</f>
        <v>100</v>
      </c>
      <c r="AT15" s="169">
        <f>IF(CagrTable[[#This Row],[Is Open]], SUM(CagrTable[[#This Row],[Long Share Equivalent]:[ACB Put Share Equivalent]]), 0)</f>
        <v>0</v>
      </c>
      <c r="AU15" s="166">
        <f>IF(OR(CagrTable[[#This Row],[Is Long]], CagrTable[[#This Row],[Is DIV]]), CagrTable[[#This Row],[Acquire Date]], CagrTable[[#This Row],[Sell Date]])</f>
        <v>46191.527175925927</v>
      </c>
      <c r="AV15" s="166" t="str">
        <f>IF(NOT(CagrTable[[#This Row],[Is Option]]), IF(OR(CagrTable[[#This Row],[Is Long]], CagrTable[[#This Row],[Is DIV]]), CagrTable[[#This Row],[Sell Date]], CagrTable[[#This Row],[Acquire Date]]), "")</f>
        <v/>
      </c>
      <c r="AW15" s="166" t="str">
        <f>IF(AND(CagrTable[[#This Row],[Is Option]], CagrTable[[#This Row],[Is Open]]), IF(CagrTable[[#This Row],[Is Long Call]], CagrTable[[#This Row],[Exp Date]], MIN(MockToday, CagrTable[[#This Row],[Exp Date]])), "")</f>
        <v/>
      </c>
      <c r="AX15" s="166">
        <f>IF(AND(CagrTable[[#This Row],[Is Option]], NOT(CagrTable[[#This Row],[Is Open]])), IF(CagrTable[[#This Row],[Is Long]], CagrTable[[#This Row],[Sell Date]], CagrTable[[#This Row],[Acquire Date]]), "")</f>
        <v>46217.546006944445</v>
      </c>
      <c r="AY15" s="166" cm="1">
        <f t="array" ref="AY15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46217.546006944445</v>
      </c>
      <c r="AZ15" s="80" t="b">
        <f>IF(AND(CagrTable[[#This Row],[Visible]], CagrTable[[#This Row],[Is Open]]), OR(CagrTable[[#This Row],[Is Long]], AND(CagrTable[[#This Row],[Is Short]], CagrTable[[#This Row],[Is Naked Call]])), FALSE)</f>
        <v>0</v>
      </c>
      <c r="BA15" s="80" t="b">
        <f>AND(CagrTable[[#This Row],[Visible]], OR(NOT(CagrTable[[#This Row],[Is PLUG]]), CagrTable[[#This Row],[Plug Type]] = "MTM"))</f>
        <v>0</v>
      </c>
      <c r="BB15" s="80" t="b">
        <f>AND(CagrTable[[#This Row],[Visible]],NOT(CagrTable[[#This Row],[Is Open]]),NOT(CagrTable[[#This Row],[Plug Type]] = "MC"),CagrTable[[#This Row],[Position]]&lt;&gt;"DIV")</f>
        <v>0</v>
      </c>
      <c r="BC15" s="193">
        <f>IF(AND(CagrTable[[#This Row],[Visible]], CagrTable[[#This Row],[Plug Type]] = "MC"), CagrTable[[#This Row],[Basis]], 0)</f>
        <v>0</v>
      </c>
      <c r="BD15" s="182">
        <f>IF(CagrTable[[#This Row],[Is PLUG]], 0, CagrTable[[#This Row],[Proceeds]] - CagrTable[[#This Row],[Basis]])</f>
        <v>272.32</v>
      </c>
      <c r="BE15" s="180">
        <f>IF(AND(OR(CagrTable[[#This Row],[Is Short Call]],CagrTable[[#This Row],[Is Short Put]])), CagrTable[[#This Row],[Proceeds]], 0)</f>
        <v>318.33</v>
      </c>
      <c r="BF15" s="180">
        <f>IF(AND(OR(CagrTable[[#This Row],[Is Short Call]],CagrTable[[#This Row],[Is Short Put]])), CagrTable[[#This Row],[Basis]], 0)</f>
        <v>46.01</v>
      </c>
      <c r="BG15" s="173">
        <f>IF(CagrTable[[#This Row],[Covered Short Share Equivalent]] &gt; 0,-1 * CagrTable[[#This Row],[Premium Input]] / CagrTable[[#This Row],[Covered Short Share Equivalent]], 0)</f>
        <v>-3.1833</v>
      </c>
      <c r="BH15" s="173">
        <f>IF(CagrTable[[#This Row],[Covered Short Share Equivalent]] &gt; 0, CagrTable[[#This Row],[Premium Offset Input]] / CagrTable[[#This Row],[Covered Short Share Equivalent]], 0)</f>
        <v>0.46009999999999995</v>
      </c>
      <c r="BI15" s="173">
        <f>SUM(CagrTable[[#This Row],[Premium ACB]:[Premium Offset ACB]])</f>
        <v>-2.7232000000000003</v>
      </c>
      <c r="BJ15" s="173">
        <f>IF(CagrTable[[#This Row],[Is Naked Short]],-1 * CagrTable[[#This Row],[Strike Price]] - (CagrTable[[#This Row],[Proceeds]] / CagrTable[[#This Row],[Naked Short Share Equivalent]]), 0)</f>
        <v>0</v>
      </c>
      <c r="BK15" s="173">
        <f>IF(CagrTable[[#This Row],[Is Short Put]], CagrTable[[#This Row],[Strike Price]] + CagrTable[[#This Row],[Net Short Premium ACB]], 0)</f>
        <v>207.27680000000001</v>
      </c>
      <c r="BL15" s="173">
        <f>IF(AND(CagrTable[[#This Row],[Is Long Call]], NOT(CagrTable[[#This Row],[Is PLUG]])), -1 * CagrTable[[#This Row],[P&amp;L]]/(CagrTable[[#This Row],[Qty]] * 100), 0)</f>
        <v>0</v>
      </c>
      <c r="BM15" s="173">
        <f>IF(AND(NOT(CagrTable[[#This Row],[Is Option]]), NOT(CagrTable[[#This Row],[Is PLUG]]), OR(CagrTable[[#This Row],[Is Open]], CagrTable[[#This Row],[Is DIV]]), N(CagrTable[[#This Row],[Qty]])&lt;&gt;0), -CagrTable[[#This Row],[P&amp;L]]/CagrTable[[#This Row],[Qty]], 0)</f>
        <v>0</v>
      </c>
      <c r="BN15" s="173" t="b">
        <f>AND(_Total_ACB_Shares&lt;&gt;0, NOT(CagrTable[[#This Row],[Is PLUG]]))</f>
        <v>0</v>
      </c>
      <c r="BO15" s="173">
        <f>IF(OR(_Total_ACB_Shares=0, CagrTable[[#This Row],[Is PLUG]]), 0, (CagrTable[[#This Row],[ACB]] * CagrTable[[#This Row],[Qty]] * IF(CagrTable[[#This Row],[Is Option]], 100, 1))/ _Total_ACB_Shares)</f>
        <v>0</v>
      </c>
      <c r="BP15" s="184">
        <f t="shared" si="0"/>
        <v>1</v>
      </c>
      <c r="BQ15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-2.7232000000000003</v>
      </c>
      <c r="BR15" s="174">
        <f>CagrTable[[#This Row],[Prelim Weighted ACB]] * CagrTable[[#This Row],[ACB Sign]]</f>
        <v>0</v>
      </c>
      <c r="BS15" s="62">
        <f>CagrTable[[#This Row],[Proceeds]] - CagrTable[[#This Row],[Basis]]</f>
        <v>272.32</v>
      </c>
      <c r="BT15" s="91" t="s">
        <v>80</v>
      </c>
      <c r="BU15" s="63" t="s">
        <v>62</v>
      </c>
      <c r="BV15" s="63" t="s">
        <v>301</v>
      </c>
      <c r="BW15" s="63" t="s">
        <v>273</v>
      </c>
      <c r="BX15" s="27"/>
      <c r="BY15" s="58">
        <v>222.6</v>
      </c>
      <c r="BZ15" s="58">
        <v>3.19</v>
      </c>
      <c r="CA15" s="100">
        <v>46191.527175925927</v>
      </c>
      <c r="CB15" s="58">
        <v>3.5</v>
      </c>
      <c r="CC15" s="58">
        <v>2.65</v>
      </c>
      <c r="CD15" s="65">
        <v>63</v>
      </c>
      <c r="CE15" s="82"/>
      <c r="CF15" s="66" t="s">
        <v>73</v>
      </c>
      <c r="CG15" s="58"/>
      <c r="CH15" s="66" t="s">
        <v>362</v>
      </c>
      <c r="CI15" s="66"/>
      <c r="CJ15" s="66"/>
      <c r="CK15" s="58">
        <v>218.44</v>
      </c>
      <c r="CL15" s="58">
        <v>0.46</v>
      </c>
      <c r="CM15" s="64">
        <v>46217.546006944445</v>
      </c>
      <c r="CN15" s="58">
        <v>0.75</v>
      </c>
      <c r="CO15" s="58">
        <v>0.32</v>
      </c>
      <c r="CP15" s="67">
        <v>67</v>
      </c>
      <c r="CQ15" s="82"/>
      <c r="CR15" s="58" t="s">
        <v>73</v>
      </c>
      <c r="CS15" s="58"/>
      <c r="CT15" s="66" t="s">
        <v>404</v>
      </c>
      <c r="CU15" s="68"/>
      <c r="CV15" s="181" t="s">
        <v>363</v>
      </c>
      <c r="CW15" s="1"/>
      <c r="DC15" s="19"/>
      <c r="DL15" s="13"/>
    </row>
    <row r="16" spans="1:116" ht="12.75" hidden="1" customHeight="1">
      <c r="A16" s="69" t="s">
        <v>96</v>
      </c>
      <c r="B16" s="189" t="s">
        <v>67</v>
      </c>
      <c r="C16" s="88">
        <v>1</v>
      </c>
      <c r="D16" s="70">
        <v>8</v>
      </c>
      <c r="E16" s="1" t="str">
        <f>CONCATENATE(CagrTable[[#This Row],[Symbol]], CagrTable[[#This Row],[ID]])</f>
        <v>BA8</v>
      </c>
      <c r="F16" s="55" t="s">
        <v>61</v>
      </c>
      <c r="G16" s="56">
        <v>46227.729166666664</v>
      </c>
      <c r="H16" s="58">
        <v>0</v>
      </c>
      <c r="I16" s="57">
        <f>IF(ISNUMBER(CagrTable[[#This Row],[Qty]]),CagrTable[[#This Row],[Basis]] /CagrTable[[#This Row],[Qty]], "")</f>
        <v>0</v>
      </c>
      <c r="J16" s="56">
        <v>46217.542615740742</v>
      </c>
      <c r="K16" s="58">
        <v>126.34</v>
      </c>
      <c r="L16" s="78">
        <f>IF(ISNUMBER(CagrTable[[#This Row],[Qty]]),CagrTable[[#This Row],[Proceeds]] / CagrTable[[#This Row],[Qty]], "")</f>
        <v>126.34</v>
      </c>
      <c r="M16" s="77">
        <f>IF(CagrTable[[#This Row],[Is Open]], CagrTable[[#This Row],[Date Opened]], CagrTable[[#This Row],[Date Closed]])</f>
        <v>46227.729166666664</v>
      </c>
      <c r="N16" s="101"/>
      <c r="O16"/>
      <c r="P16" s="177"/>
      <c r="Q16" s="176"/>
      <c r="R16" s="71">
        <f>IF(CagrTable[[#This Row],[Sell Date]]=CagrTable[[#This Row],[Acquire Date]], 1, ABS(CagrTable[[#This Row],[Sell Date]] - CagrTable[[#This Row],[Acquire Date]]))</f>
        <v>10.186550925922347</v>
      </c>
      <c r="S16" s="72">
        <f>CagrTable[[#This Row],[Days Held]] / 30</f>
        <v>0.33955169753074493</v>
      </c>
      <c r="T16" s="178">
        <v>0.66</v>
      </c>
      <c r="U16" s="179"/>
      <c r="V16" s="158">
        <v>46227.729166666664</v>
      </c>
      <c r="W16" s="60">
        <v>230</v>
      </c>
      <c r="X16" s="75" t="s">
        <v>68</v>
      </c>
      <c r="Y16" s="61" t="s">
        <v>405</v>
      </c>
      <c r="Z16" s="85" t="str">
        <f>IF(OR(CagrTable[[#This Row],[Is Closed]]="", CagrTable[[#This Row],[Is Closed]]="H"),"Y","")</f>
        <v/>
      </c>
      <c r="AA16" s="85" t="str">
        <f>IF(OR(CagrTable[[#This Row],[Position]]="LNG",CagrTable[[#This Row],[Position]]="SHRT"),"Equity","Option")</f>
        <v>Option</v>
      </c>
      <c r="AB16" s="84" t="str">
        <f>IF(CagrTable[[#This Row],[Pricing Update Included]]="Y",IF(CagrTable[[#This Row],[Pricing Update Asset]]="Equity",CagrTable[[#This Row],[Symbol]],CagrTable[[#This Row],[Option Symbol]]),"")</f>
        <v/>
      </c>
      <c r="AC16" s="80">
        <f>SUBTOTAL(103,CagrTable[[#This Row],[Symbol]])</f>
        <v>0</v>
      </c>
      <c r="AD16" s="80" t="b">
        <f>LEFT(CagrTable[[#This Row],[Position]],1)="L"</f>
        <v>0</v>
      </c>
      <c r="AE16" s="80" t="b">
        <f>LEFT(CagrTable[[#This Row],[Position]],1)="S"</f>
        <v>1</v>
      </c>
      <c r="AF16" s="80" t="b">
        <f>(CagrTable[[#This Row],[Position]] = "DIV")</f>
        <v>0</v>
      </c>
      <c r="AG16" s="80" t="b">
        <f>CagrTable[[#This Row],[Position]] = "PLUG"</f>
        <v>0</v>
      </c>
      <c r="AH16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0</v>
      </c>
      <c r="AI16" s="80" t="b">
        <f>CagrTable[[#This Row],[Is Closed]] &lt;&gt; "Y"</f>
        <v>0</v>
      </c>
      <c r="AJ16" s="84" t="b">
        <f>OR(CagrTable[[#This Row],[Option Type]]&lt;&gt;"",
  CagrTable[[#This Row],[Position]]="LC", CagrTable[[#This Row],[Position]]="SC",
  CagrTable[[#This Row],[Position]]="LP",CagrTable[[#This Row],[Position]]="SP"
)</f>
        <v>1</v>
      </c>
      <c r="AK16" s="84" t="b">
        <f>AND(CagrTable[[#This Row],[Option Type]] = "C", CagrTable[[#This Row],[Is Short]])</f>
        <v>1</v>
      </c>
      <c r="AL16" s="84" t="b">
        <f>AND(CagrTable[[#This Row],[Is Short Call]],CagrTable[[#This Row],[Is Naked Call]] = TRUE)</f>
        <v>0</v>
      </c>
      <c r="AM16" s="84" t="b">
        <f>AND(CagrTable[[#This Row],[Option Type]] = "P", CagrTable[[#This Row],[Is Short]])</f>
        <v>0</v>
      </c>
      <c r="AN16" s="84" t="b">
        <f>CagrTable[[#This Row],[Position]]= "LC"</f>
        <v>0</v>
      </c>
      <c r="AO16" s="169">
        <f>IF(AND(CagrTable[[#This Row],[Is Long]], NOT(CagrTable[[#This Row],[Position]]="LP")), CagrTable[[#This Row],[Qty]] * IF(CagrTable[[#This Row],[Is Option]], 100, 1), 0)</f>
        <v>0</v>
      </c>
      <c r="AP16" s="169">
        <f>IF(CagrTable[[#This Row],[Is Naked Short]], CagrTable[[#This Row],[Qty]] * -100, 0)</f>
        <v>0</v>
      </c>
      <c r="AQ16" s="169">
        <f>IF(CagrTable[[#This Row],[Is ACB Put]], CagrTable[[#This Row],[Qty]] * -100, 0)</f>
        <v>0</v>
      </c>
      <c r="AR16" s="169">
        <f>IF(AND(CagrTable[[#This Row],[Is Short]], NOT(CagrTable[[#This Row],[Is Naked Short]])), CagrTable[[#This Row],[Qty]] * IF(CagrTable[[#This Row],[Is Option]], 100, 1), 0)</f>
        <v>100</v>
      </c>
      <c r="AS16" s="169">
        <f>SUM(CagrTable[[#This Row],[Long Share Equivalent]:[Covered Short Share Equivalent]])</f>
        <v>100</v>
      </c>
      <c r="AT16" s="169">
        <f>IF(CagrTable[[#This Row],[Is Open]], SUM(CagrTable[[#This Row],[Long Share Equivalent]:[ACB Put Share Equivalent]]), 0)</f>
        <v>0</v>
      </c>
      <c r="AU16" s="166">
        <f>IF(OR(CagrTable[[#This Row],[Is Long]], CagrTable[[#This Row],[Is DIV]]), CagrTable[[#This Row],[Acquire Date]], CagrTable[[#This Row],[Sell Date]])</f>
        <v>46217.542615740742</v>
      </c>
      <c r="AV16" s="166" t="str">
        <f>IF(NOT(CagrTable[[#This Row],[Is Option]]), IF(OR(CagrTable[[#This Row],[Is Long]], CagrTable[[#This Row],[Is DIV]]), CagrTable[[#This Row],[Sell Date]], CagrTable[[#This Row],[Acquire Date]]), "")</f>
        <v/>
      </c>
      <c r="AW16" s="166" t="str">
        <f>IF(AND(CagrTable[[#This Row],[Is Option]], CagrTable[[#This Row],[Is Open]]), IF(CagrTable[[#This Row],[Is Long Call]], CagrTable[[#This Row],[Exp Date]], MIN(MockToday, CagrTable[[#This Row],[Exp Date]])), "")</f>
        <v/>
      </c>
      <c r="AX16" s="166">
        <f>IF(AND(CagrTable[[#This Row],[Is Option]], NOT(CagrTable[[#This Row],[Is Open]])), IF(CagrTable[[#This Row],[Is Long]], CagrTable[[#This Row],[Sell Date]], CagrTable[[#This Row],[Acquire Date]]), "")</f>
        <v>46227.729166666664</v>
      </c>
      <c r="AY16" s="166" cm="1">
        <f t="array" ref="AY16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46227.729166666664</v>
      </c>
      <c r="AZ16" s="80" t="b">
        <f>IF(AND(CagrTable[[#This Row],[Visible]], CagrTable[[#This Row],[Is Open]]), OR(CagrTable[[#This Row],[Is Long]], AND(CagrTable[[#This Row],[Is Short]], CagrTable[[#This Row],[Is Naked Call]])), FALSE)</f>
        <v>0</v>
      </c>
      <c r="BA16" s="80" t="b">
        <f>AND(CagrTable[[#This Row],[Visible]], OR(NOT(CagrTable[[#This Row],[Is PLUG]]), CagrTable[[#This Row],[Plug Type]] = "MTM"))</f>
        <v>0</v>
      </c>
      <c r="BB16" s="80" t="b">
        <f>AND(CagrTable[[#This Row],[Visible]],NOT(CagrTable[[#This Row],[Is Open]]),NOT(CagrTable[[#This Row],[Plug Type]] = "MC"),CagrTable[[#This Row],[Position]]&lt;&gt;"DIV")</f>
        <v>0</v>
      </c>
      <c r="BC16" s="193">
        <f>IF(AND(CagrTable[[#This Row],[Visible]], CagrTable[[#This Row],[Plug Type]] = "MC"), CagrTable[[#This Row],[Basis]], 0)</f>
        <v>0</v>
      </c>
      <c r="BD16" s="182">
        <f>IF(CagrTable[[#This Row],[Is PLUG]], 0, CagrTable[[#This Row],[Proceeds]] - CagrTable[[#This Row],[Basis]])</f>
        <v>126.34</v>
      </c>
      <c r="BE16" s="180">
        <f>IF(AND(OR(CagrTable[[#This Row],[Is Short Call]],CagrTable[[#This Row],[Is Short Put]])), CagrTable[[#This Row],[Proceeds]], 0)</f>
        <v>126.34</v>
      </c>
      <c r="BF16" s="180">
        <f>IF(AND(OR(CagrTable[[#This Row],[Is Short Call]],CagrTable[[#This Row],[Is Short Put]])), CagrTable[[#This Row],[Basis]], 0)</f>
        <v>0</v>
      </c>
      <c r="BG16" s="173">
        <f>IF(CagrTable[[#This Row],[Covered Short Share Equivalent]] &gt; 0,-1 * CagrTable[[#This Row],[Premium Input]] / CagrTable[[#This Row],[Covered Short Share Equivalent]], 0)</f>
        <v>-1.2634000000000001</v>
      </c>
      <c r="BH16" s="173">
        <f>IF(CagrTable[[#This Row],[Covered Short Share Equivalent]] &gt; 0, CagrTable[[#This Row],[Premium Offset Input]] / CagrTable[[#This Row],[Covered Short Share Equivalent]], 0)</f>
        <v>0</v>
      </c>
      <c r="BI16" s="173">
        <f>SUM(CagrTable[[#This Row],[Premium ACB]:[Premium Offset ACB]])</f>
        <v>-1.2634000000000001</v>
      </c>
      <c r="BJ16" s="173">
        <f>IF(CagrTable[[#This Row],[Is Naked Short]],-1 * CagrTable[[#This Row],[Strike Price]] - (CagrTable[[#This Row],[Proceeds]] / CagrTable[[#This Row],[Naked Short Share Equivalent]]), 0)</f>
        <v>0</v>
      </c>
      <c r="BK16" s="173">
        <f>IF(CagrTable[[#This Row],[Is Short Put]], CagrTable[[#This Row],[Strike Price]] + CagrTable[[#This Row],[Net Short Premium ACB]], 0)</f>
        <v>0</v>
      </c>
      <c r="BL16" s="173">
        <f>IF(AND(CagrTable[[#This Row],[Is Long Call]], NOT(CagrTable[[#This Row],[Is PLUG]])), -1 * CagrTable[[#This Row],[P&amp;L]]/(CagrTable[[#This Row],[Qty]] * 100), 0)</f>
        <v>0</v>
      </c>
      <c r="BM16" s="173">
        <f>IF(AND(NOT(CagrTable[[#This Row],[Is Option]]), NOT(CagrTable[[#This Row],[Is PLUG]]), OR(CagrTable[[#This Row],[Is Open]], CagrTable[[#This Row],[Is DIV]]), N(CagrTable[[#This Row],[Qty]])&lt;&gt;0), -CagrTable[[#This Row],[P&amp;L]]/CagrTable[[#This Row],[Qty]], 0)</f>
        <v>0</v>
      </c>
      <c r="BN16" s="173" t="b">
        <f>AND(_Total_ACB_Shares&lt;&gt;0, NOT(CagrTable[[#This Row],[Is PLUG]]))</f>
        <v>0</v>
      </c>
      <c r="BO16" s="173">
        <f>IF(OR(_Total_ACB_Shares=0, CagrTable[[#This Row],[Is PLUG]]), 0, (CagrTable[[#This Row],[ACB]] * CagrTable[[#This Row],[Qty]] * IF(CagrTable[[#This Row],[Is Option]], 100, 1))/ _Total_ACB_Shares)</f>
        <v>0</v>
      </c>
      <c r="BP16" s="184">
        <f t="shared" si="0"/>
        <v>1</v>
      </c>
      <c r="BQ16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-1.2634000000000001</v>
      </c>
      <c r="BR16" s="174">
        <f>CagrTable[[#This Row],[Prelim Weighted ACB]] * CagrTable[[#This Row],[ACB Sign]]</f>
        <v>0</v>
      </c>
      <c r="BS16" s="62">
        <f>CagrTable[[#This Row],[Proceeds]] - CagrTable[[#This Row],[Basis]]</f>
        <v>126.34</v>
      </c>
      <c r="BT16" s="91" t="s">
        <v>70</v>
      </c>
      <c r="BU16" s="63" t="s">
        <v>62</v>
      </c>
      <c r="BV16" s="63" t="s">
        <v>71</v>
      </c>
      <c r="BW16" s="63" t="s">
        <v>87</v>
      </c>
      <c r="BX16" s="27"/>
      <c r="BY16" s="58">
        <v>218.44</v>
      </c>
      <c r="BZ16" s="58">
        <v>1.27</v>
      </c>
      <c r="CA16" s="100">
        <v>46217.542615740742</v>
      </c>
      <c r="CB16" s="58">
        <v>1.6</v>
      </c>
      <c r="CC16" s="58">
        <v>0.97</v>
      </c>
      <c r="CD16" s="65">
        <v>47</v>
      </c>
      <c r="CE16" s="83"/>
      <c r="CF16" s="66" t="s">
        <v>73</v>
      </c>
      <c r="CG16" s="58"/>
      <c r="CH16" s="66" t="s">
        <v>406</v>
      </c>
      <c r="CI16" s="66" t="s">
        <v>65</v>
      </c>
      <c r="CJ16" s="66"/>
      <c r="CK16" s="58">
        <v>211.12</v>
      </c>
      <c r="CL16" s="58">
        <v>0</v>
      </c>
      <c r="CM16" s="64">
        <v>46227.708333333336</v>
      </c>
      <c r="CN16" s="58">
        <v>0</v>
      </c>
      <c r="CO16" s="58">
        <v>0</v>
      </c>
      <c r="CP16" s="67">
        <v>0</v>
      </c>
      <c r="CQ16" s="82"/>
      <c r="CR16" s="58"/>
      <c r="CS16" s="58"/>
      <c r="CT16" s="66" t="s">
        <v>76</v>
      </c>
      <c r="CU16" s="73"/>
      <c r="CV16" s="181" t="s">
        <v>407</v>
      </c>
      <c r="CW16" s="1"/>
      <c r="DC16" s="19"/>
      <c r="DL16" s="13"/>
    </row>
    <row r="17" spans="1:116" ht="12.75" hidden="1" customHeight="1">
      <c r="A17" s="69" t="s">
        <v>96</v>
      </c>
      <c r="B17" s="189" t="s">
        <v>100</v>
      </c>
      <c r="C17" s="88">
        <v>1</v>
      </c>
      <c r="D17" s="70">
        <v>8</v>
      </c>
      <c r="E17" s="1" t="str">
        <f>CONCATENATE(CagrTable[[#This Row],[Symbol]], CagrTable[[#This Row],[ID]])</f>
        <v>BA8</v>
      </c>
      <c r="F17" s="55" t="s">
        <v>61</v>
      </c>
      <c r="G17" s="56">
        <v>46255</v>
      </c>
      <c r="H17" s="58">
        <v>0</v>
      </c>
      <c r="I17" s="57">
        <f>IF(ISNUMBER(CagrTable[[#This Row],[Qty]]),CagrTable[[#This Row],[Basis]] /CagrTable[[#This Row],[Qty]], "")</f>
        <v>0</v>
      </c>
      <c r="J17" s="56">
        <v>46262</v>
      </c>
      <c r="K17" s="58">
        <v>0</v>
      </c>
      <c r="L17" s="78">
        <f>IF(ISNUMBER(CagrTable[[#This Row],[Qty]]),CagrTable[[#This Row],[Proceeds]] / CagrTable[[#This Row],[Qty]], "")</f>
        <v>0</v>
      </c>
      <c r="M17" s="77">
        <f>IF(CagrTable[[#This Row],[Is Open]], CagrTable[[#This Row],[Date Opened]], CagrTable[[#This Row],[Date Closed]])</f>
        <v>46255</v>
      </c>
      <c r="N17" s="101" t="s">
        <v>248</v>
      </c>
      <c r="O17"/>
      <c r="P17" s="177"/>
      <c r="Q17" s="176"/>
      <c r="R17" s="71">
        <f>IF(CagrTable[[#This Row],[Sell Date]]=CagrTable[[#This Row],[Acquire Date]], 1, ABS(CagrTable[[#This Row],[Sell Date]] - CagrTable[[#This Row],[Acquire Date]]))</f>
        <v>7</v>
      </c>
      <c r="S17" s="59">
        <f>CagrTable[[#This Row],[Days Held]] / 30</f>
        <v>0.23333333333333334</v>
      </c>
      <c r="T17" s="178"/>
      <c r="U17" s="179"/>
      <c r="V17" s="158">
        <v>46220.729166666664</v>
      </c>
      <c r="W17" s="60">
        <v>210</v>
      </c>
      <c r="X17" s="75"/>
      <c r="Y17" s="61" t="s">
        <v>361</v>
      </c>
      <c r="Z17" s="85" t="str">
        <f>IF(OR(CagrTable[[#This Row],[Is Closed]]="", CagrTable[[#This Row],[Is Closed]]="H"),"Y","")</f>
        <v/>
      </c>
      <c r="AA17" s="85" t="str">
        <f>IF(OR(CagrTable[[#This Row],[Position]]="LNG",CagrTable[[#This Row],[Position]]="SHRT"),"Equity","Option")</f>
        <v>Option</v>
      </c>
      <c r="AB17" s="84" t="str">
        <f>IF(CagrTable[[#This Row],[Pricing Update Included]]="Y",IF(CagrTable[[#This Row],[Pricing Update Asset]]="Equity",CagrTable[[#This Row],[Symbol]],CagrTable[[#This Row],[Option Symbol]]),"")</f>
        <v/>
      </c>
      <c r="AC17" s="80">
        <f>SUBTOTAL(103,CagrTable[[#This Row],[Symbol]])</f>
        <v>0</v>
      </c>
      <c r="AD17" s="80" t="b">
        <f>LEFT(CagrTable[[#This Row],[Position]],1)="L"</f>
        <v>0</v>
      </c>
      <c r="AE17" s="80" t="b">
        <f>LEFT(CagrTable[[#This Row],[Position]],1)="S"</f>
        <v>0</v>
      </c>
      <c r="AF17" s="80" t="b">
        <f>(CagrTable[[#This Row],[Position]] = "DIV")</f>
        <v>0</v>
      </c>
      <c r="AG17" s="80" t="b">
        <f>CagrTable[[#This Row],[Position]] = "PLUG"</f>
        <v>1</v>
      </c>
      <c r="AH17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1</v>
      </c>
      <c r="AI17" s="80" t="b">
        <f>CagrTable[[#This Row],[Is Closed]] &lt;&gt; "Y"</f>
        <v>0</v>
      </c>
      <c r="AJ17" s="84" t="b">
        <f>OR(CagrTable[[#This Row],[Option Type]]&lt;&gt;"",
  CagrTable[[#This Row],[Position]]="LC", CagrTable[[#This Row],[Position]]="SC",
  CagrTable[[#This Row],[Position]]="LP",CagrTable[[#This Row],[Position]]="SP"
)</f>
        <v>0</v>
      </c>
      <c r="AK17" s="84" t="b">
        <f>AND(CagrTable[[#This Row],[Option Type]] = "C", CagrTable[[#This Row],[Is Short]])</f>
        <v>0</v>
      </c>
      <c r="AL17" s="84" t="b">
        <f>AND(CagrTable[[#This Row],[Is Short Call]],CagrTable[[#This Row],[Is Naked Call]] = TRUE)</f>
        <v>0</v>
      </c>
      <c r="AM17" s="84" t="b">
        <f>AND(CagrTable[[#This Row],[Option Type]] = "P", CagrTable[[#This Row],[Is Short]])</f>
        <v>0</v>
      </c>
      <c r="AN17" s="84" t="b">
        <f>CagrTable[[#This Row],[Position]]= "LC"</f>
        <v>0</v>
      </c>
      <c r="AO17" s="169">
        <f>IF(AND(CagrTable[[#This Row],[Is Long]], NOT(CagrTable[[#This Row],[Position]]="LP")), CagrTable[[#This Row],[Qty]] * IF(CagrTable[[#This Row],[Is Option]], 100, 1), 0)</f>
        <v>0</v>
      </c>
      <c r="AP17" s="169">
        <f>IF(CagrTable[[#This Row],[Is Naked Short]], CagrTable[[#This Row],[Qty]] * -100, 0)</f>
        <v>0</v>
      </c>
      <c r="AQ17" s="169">
        <f>IF(CagrTable[[#This Row],[Is ACB Put]], CagrTable[[#This Row],[Qty]] * -100, 0)</f>
        <v>0</v>
      </c>
      <c r="AR17" s="169">
        <f>IF(AND(CagrTable[[#This Row],[Is Short]], NOT(CagrTable[[#This Row],[Is Naked Short]])), CagrTable[[#This Row],[Qty]] * IF(CagrTable[[#This Row],[Is Option]], 100, 1), 0)</f>
        <v>0</v>
      </c>
      <c r="AS17" s="169">
        <f>SUM(CagrTable[[#This Row],[Long Share Equivalent]:[Covered Short Share Equivalent]])</f>
        <v>0</v>
      </c>
      <c r="AT17" s="169">
        <f>IF(CagrTable[[#This Row],[Is Open]], SUM(CagrTable[[#This Row],[Long Share Equivalent]:[ACB Put Share Equivalent]]), 0)</f>
        <v>0</v>
      </c>
      <c r="AU17" s="166">
        <f>IF(OR(CagrTable[[#This Row],[Is Long]], CagrTable[[#This Row],[Is DIV]]), CagrTable[[#This Row],[Acquire Date]], CagrTable[[#This Row],[Sell Date]])</f>
        <v>46262</v>
      </c>
      <c r="AV17" s="166">
        <f>IF(NOT(CagrTable[[#This Row],[Is Option]]), IF(OR(CagrTable[[#This Row],[Is Long]], CagrTable[[#This Row],[Is DIV]]), CagrTable[[#This Row],[Sell Date]], CagrTable[[#This Row],[Acquire Date]]), "")</f>
        <v>46255</v>
      </c>
      <c r="AW17" s="166" t="str">
        <f>IF(AND(CagrTable[[#This Row],[Is Option]], CagrTable[[#This Row],[Is Open]]), IF(CagrTable[[#This Row],[Is Long Call]], CagrTable[[#This Row],[Exp Date]], MIN(MockToday, CagrTable[[#This Row],[Exp Date]])), "")</f>
        <v/>
      </c>
      <c r="AX17" s="166" t="str">
        <f>IF(AND(CagrTable[[#This Row],[Is Option]], NOT(CagrTable[[#This Row],[Is Open]])), IF(CagrTable[[#This Row],[Is Long]], CagrTable[[#This Row],[Sell Date]], CagrTable[[#This Row],[Acquire Date]]), "")</f>
        <v/>
      </c>
      <c r="AY17" s="166" cm="1">
        <f t="array" ref="AY17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46255</v>
      </c>
      <c r="AZ17" s="80" t="b">
        <f>IF(AND(CagrTable[[#This Row],[Visible]], CagrTable[[#This Row],[Is Open]]), OR(CagrTable[[#This Row],[Is Long]], AND(CagrTable[[#This Row],[Is Short]], CagrTable[[#This Row],[Is Naked Call]])), FALSE)</f>
        <v>0</v>
      </c>
      <c r="BA17" s="80" t="b">
        <f>AND(CagrTable[[#This Row],[Visible]], OR(NOT(CagrTable[[#This Row],[Is PLUG]]), CagrTable[[#This Row],[Plug Type]] = "MTM"))</f>
        <v>0</v>
      </c>
      <c r="BB17" s="80" t="b">
        <f>AND(CagrTable[[#This Row],[Visible]],NOT(CagrTable[[#This Row],[Is Open]]),NOT(CagrTable[[#This Row],[Plug Type]] = "MC"),CagrTable[[#This Row],[Position]]&lt;&gt;"DIV")</f>
        <v>0</v>
      </c>
      <c r="BC17" s="193">
        <f>IF(AND(CagrTable[[#This Row],[Visible]], CagrTable[[#This Row],[Plug Type]] = "MC"), CagrTable[[#This Row],[Basis]], 0)</f>
        <v>0</v>
      </c>
      <c r="BD17" s="182">
        <f>IF(CagrTable[[#This Row],[Is PLUG]], 0, CagrTable[[#This Row],[Proceeds]] - CagrTable[[#This Row],[Basis]])</f>
        <v>0</v>
      </c>
      <c r="BE17" s="180">
        <f>IF(AND(OR(CagrTable[[#This Row],[Is Short Call]],CagrTable[[#This Row],[Is Short Put]])), CagrTable[[#This Row],[Proceeds]], 0)</f>
        <v>0</v>
      </c>
      <c r="BF17" s="180">
        <f>IF(AND(OR(CagrTable[[#This Row],[Is Short Call]],CagrTable[[#This Row],[Is Short Put]])), CagrTable[[#This Row],[Basis]], 0)</f>
        <v>0</v>
      </c>
      <c r="BG17" s="173">
        <f>IF(CagrTable[[#This Row],[Covered Short Share Equivalent]] &gt; 0,-1 * CagrTable[[#This Row],[Premium Input]] / CagrTable[[#This Row],[Covered Short Share Equivalent]], 0)</f>
        <v>0</v>
      </c>
      <c r="BH17" s="173">
        <f>IF(CagrTable[[#This Row],[Covered Short Share Equivalent]] &gt; 0, CagrTable[[#This Row],[Premium Offset Input]] / CagrTable[[#This Row],[Covered Short Share Equivalent]], 0)</f>
        <v>0</v>
      </c>
      <c r="BI17" s="173">
        <f>SUM(CagrTable[[#This Row],[Premium ACB]:[Premium Offset ACB]])</f>
        <v>0</v>
      </c>
      <c r="BJ17" s="173">
        <f>IF(CagrTable[[#This Row],[Is Naked Short]],-1 * CagrTable[[#This Row],[Strike Price]] - (CagrTable[[#This Row],[Proceeds]] / CagrTable[[#This Row],[Naked Short Share Equivalent]]), 0)</f>
        <v>0</v>
      </c>
      <c r="BK17" s="173">
        <f>IF(CagrTable[[#This Row],[Is Short Put]], CagrTable[[#This Row],[Strike Price]] + CagrTable[[#This Row],[Net Short Premium ACB]], 0)</f>
        <v>0</v>
      </c>
      <c r="BL17" s="173">
        <f>IF(AND(CagrTable[[#This Row],[Is Long Call]], NOT(CagrTable[[#This Row],[Is PLUG]])), -1 * CagrTable[[#This Row],[P&amp;L]]/(CagrTable[[#This Row],[Qty]] * 100), 0)</f>
        <v>0</v>
      </c>
      <c r="BM17" s="173">
        <f>IF(AND(NOT(CagrTable[[#This Row],[Is Option]]), NOT(CagrTable[[#This Row],[Is PLUG]]), OR(CagrTable[[#This Row],[Is Open]], CagrTable[[#This Row],[Is DIV]]), N(CagrTable[[#This Row],[Qty]])&lt;&gt;0), -CagrTable[[#This Row],[P&amp;L]]/CagrTable[[#This Row],[Qty]], 0)</f>
        <v>0</v>
      </c>
      <c r="BN17" s="173" t="b">
        <f>AND(_Total_ACB_Shares&lt;&gt;0, NOT(CagrTable[[#This Row],[Is PLUG]]))</f>
        <v>0</v>
      </c>
      <c r="BO17" s="173">
        <f>IF(OR(_Total_ACB_Shares=0, CagrTable[[#This Row],[Is PLUG]]), 0, (CagrTable[[#This Row],[ACB]] * CagrTable[[#This Row],[Qty]] * IF(CagrTable[[#This Row],[Is Option]], 100, 1))/ _Total_ACB_Shares)</f>
        <v>0</v>
      </c>
      <c r="BP17" s="184">
        <f t="shared" si="0"/>
        <v>1</v>
      </c>
      <c r="BQ17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0</v>
      </c>
      <c r="BR17" s="174">
        <f>CagrTable[[#This Row],[Prelim Weighted ACB]] * CagrTable[[#This Row],[ACB Sign]]</f>
        <v>0</v>
      </c>
      <c r="BS17" s="62">
        <f>CagrTable[[#This Row],[Proceeds]] - CagrTable[[#This Row],[Basis]]</f>
        <v>0</v>
      </c>
      <c r="BT17" s="91" t="s">
        <v>100</v>
      </c>
      <c r="BU17" s="63"/>
      <c r="BV17" s="63"/>
      <c r="BW17" s="63"/>
      <c r="BX17" s="27"/>
      <c r="BY17" s="58"/>
      <c r="BZ17" s="58"/>
      <c r="CA17" s="100"/>
      <c r="CB17" s="58"/>
      <c r="CC17" s="58"/>
      <c r="CD17" s="65"/>
      <c r="CE17" s="82"/>
      <c r="CF17" s="66"/>
      <c r="CG17" s="58"/>
      <c r="CH17" s="66"/>
      <c r="CI17" s="66"/>
      <c r="CJ17" s="66"/>
      <c r="CK17" s="58"/>
      <c r="CL17" s="58"/>
      <c r="CM17" s="64"/>
      <c r="CN17" s="58"/>
      <c r="CO17" s="58"/>
      <c r="CP17" s="67"/>
      <c r="CQ17" s="82"/>
      <c r="CR17" s="58"/>
      <c r="CS17" s="58"/>
      <c r="CT17" s="66"/>
      <c r="CU17" s="68"/>
      <c r="CV17" s="181" t="s">
        <v>373</v>
      </c>
      <c r="DC17" s="19"/>
      <c r="DL17" s="13"/>
    </row>
    <row r="18" spans="1:116" ht="12.75" hidden="1" customHeight="1">
      <c r="A18" s="69" t="s">
        <v>96</v>
      </c>
      <c r="B18" s="189" t="s">
        <v>67</v>
      </c>
      <c r="C18" s="88">
        <v>1</v>
      </c>
      <c r="D18" s="70">
        <v>8</v>
      </c>
      <c r="E18" s="1" t="str">
        <f>CONCATENATE(CagrTable[[#This Row],[Symbol]], CagrTable[[#This Row],[ID]])</f>
        <v>BA8</v>
      </c>
      <c r="F18" s="55" t="s">
        <v>61</v>
      </c>
      <c r="G18" s="56">
        <v>46255.729166666664</v>
      </c>
      <c r="H18" s="58">
        <v>0</v>
      </c>
      <c r="I18" s="57">
        <f>IF(ISNUMBER(CagrTable[[#This Row],[Qty]]),CagrTable[[#This Row],[Basis]] /CagrTable[[#This Row],[Qty]], "")</f>
        <v>0</v>
      </c>
      <c r="J18" s="56">
        <v>46237.410196759258</v>
      </c>
      <c r="K18" s="58">
        <v>250.34</v>
      </c>
      <c r="L18" s="78">
        <f>IF(ISNUMBER(CagrTable[[#This Row],[Qty]]),CagrTable[[#This Row],[Proceeds]] / CagrTable[[#This Row],[Qty]], "")</f>
        <v>250.34</v>
      </c>
      <c r="M18" s="77">
        <f>IF(CagrTable[[#This Row],[Is Open]], CagrTable[[#This Row],[Date Opened]], CagrTable[[#This Row],[Date Closed]])</f>
        <v>46255.729166666664</v>
      </c>
      <c r="N18" s="101"/>
      <c r="O18"/>
      <c r="P18" s="177"/>
      <c r="Q18" s="176"/>
      <c r="R18" s="71">
        <f>IF(CagrTable[[#This Row],[Sell Date]]=CagrTable[[#This Row],[Acquire Date]], 1, ABS(CagrTable[[#This Row],[Sell Date]] - CagrTable[[#This Row],[Acquire Date]]))</f>
        <v>18.318969907406427</v>
      </c>
      <c r="S18" s="72">
        <f>CagrTable[[#This Row],[Days Held]] / 30</f>
        <v>0.61063233024688091</v>
      </c>
      <c r="T18" s="178">
        <v>0.66</v>
      </c>
      <c r="U18" s="179"/>
      <c r="V18" s="158">
        <v>46255.729166666664</v>
      </c>
      <c r="W18" s="60">
        <v>240</v>
      </c>
      <c r="X18" s="75" t="s">
        <v>68</v>
      </c>
      <c r="Y18" s="61" t="s">
        <v>433</v>
      </c>
      <c r="Z18" s="85" t="str">
        <f>IF(OR(CagrTable[[#This Row],[Is Closed]]="", CagrTable[[#This Row],[Is Closed]]="H"),"Y","")</f>
        <v/>
      </c>
      <c r="AA18" s="85" t="str">
        <f>IF(OR(CagrTable[[#This Row],[Position]]="LNG",CagrTable[[#This Row],[Position]]="SHRT"),"Equity","Option")</f>
        <v>Option</v>
      </c>
      <c r="AB18" s="84" t="str">
        <f>IF(CagrTable[[#This Row],[Pricing Update Included]]="Y",IF(CagrTable[[#This Row],[Pricing Update Asset]]="Equity",CagrTable[[#This Row],[Symbol]],CagrTable[[#This Row],[Option Symbol]]),"")</f>
        <v/>
      </c>
      <c r="AC18" s="80">
        <f>SUBTOTAL(103,CagrTable[[#This Row],[Symbol]])</f>
        <v>0</v>
      </c>
      <c r="AD18" s="80" t="b">
        <f>LEFT(CagrTable[[#This Row],[Position]],1)="L"</f>
        <v>0</v>
      </c>
      <c r="AE18" s="80" t="b">
        <f>LEFT(CagrTable[[#This Row],[Position]],1)="S"</f>
        <v>1</v>
      </c>
      <c r="AF18" s="80" t="b">
        <f>(CagrTable[[#This Row],[Position]] = "DIV")</f>
        <v>0</v>
      </c>
      <c r="AG18" s="80" t="b">
        <f>CagrTable[[#This Row],[Position]] = "PLUG"</f>
        <v>0</v>
      </c>
      <c r="AH18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0</v>
      </c>
      <c r="AI18" s="80" t="b">
        <f>CagrTable[[#This Row],[Is Closed]] &lt;&gt; "Y"</f>
        <v>0</v>
      </c>
      <c r="AJ18" s="84" t="b">
        <f>OR(CagrTable[[#This Row],[Option Type]]&lt;&gt;"",
  CagrTable[[#This Row],[Position]]="LC", CagrTable[[#This Row],[Position]]="SC",
  CagrTable[[#This Row],[Position]]="LP",CagrTable[[#This Row],[Position]]="SP"
)</f>
        <v>1</v>
      </c>
      <c r="AK18" s="84" t="b">
        <f>AND(CagrTable[[#This Row],[Option Type]] = "C", CagrTable[[#This Row],[Is Short]])</f>
        <v>1</v>
      </c>
      <c r="AL18" s="84" t="b">
        <f>AND(CagrTable[[#This Row],[Is Short Call]],CagrTable[[#This Row],[Is Naked Call]] = TRUE)</f>
        <v>0</v>
      </c>
      <c r="AM18" s="84" t="b">
        <f>AND(CagrTable[[#This Row],[Option Type]] = "P", CagrTable[[#This Row],[Is Short]])</f>
        <v>0</v>
      </c>
      <c r="AN18" s="84" t="b">
        <f>CagrTable[[#This Row],[Position]]= "LC"</f>
        <v>0</v>
      </c>
      <c r="AO18" s="169">
        <f>IF(AND(CagrTable[[#This Row],[Is Long]], NOT(CagrTable[[#This Row],[Position]]="LP")), CagrTable[[#This Row],[Qty]] * IF(CagrTable[[#This Row],[Is Option]], 100, 1), 0)</f>
        <v>0</v>
      </c>
      <c r="AP18" s="169">
        <f>IF(CagrTable[[#This Row],[Is Naked Short]], CagrTable[[#This Row],[Qty]] * -100, 0)</f>
        <v>0</v>
      </c>
      <c r="AQ18" s="169">
        <f>IF(CagrTable[[#This Row],[Is ACB Put]], CagrTable[[#This Row],[Qty]] * -100, 0)</f>
        <v>0</v>
      </c>
      <c r="AR18" s="169">
        <f>IF(AND(CagrTable[[#This Row],[Is Short]], NOT(CagrTable[[#This Row],[Is Naked Short]])), CagrTable[[#This Row],[Qty]] * IF(CagrTable[[#This Row],[Is Option]], 100, 1), 0)</f>
        <v>100</v>
      </c>
      <c r="AS18" s="169">
        <f>SUM(CagrTable[[#This Row],[Long Share Equivalent]:[Covered Short Share Equivalent]])</f>
        <v>100</v>
      </c>
      <c r="AT18" s="169">
        <f>IF(CagrTable[[#This Row],[Is Open]], SUM(CagrTable[[#This Row],[Long Share Equivalent]:[ACB Put Share Equivalent]]), 0)</f>
        <v>0</v>
      </c>
      <c r="AU18" s="166">
        <f>IF(OR(CagrTable[[#This Row],[Is Long]], CagrTable[[#This Row],[Is DIV]]), CagrTable[[#This Row],[Acquire Date]], CagrTable[[#This Row],[Sell Date]])</f>
        <v>46237.410196759258</v>
      </c>
      <c r="AV18" s="166" t="str">
        <f>IF(NOT(CagrTable[[#This Row],[Is Option]]), IF(OR(CagrTable[[#This Row],[Is Long]], CagrTable[[#This Row],[Is DIV]]), CagrTable[[#This Row],[Sell Date]], CagrTable[[#This Row],[Acquire Date]]), "")</f>
        <v/>
      </c>
      <c r="AW18" s="166" t="str">
        <f>IF(AND(CagrTable[[#This Row],[Is Option]], CagrTable[[#This Row],[Is Open]]), IF(CagrTable[[#This Row],[Is Long Call]], CagrTable[[#This Row],[Exp Date]], MIN(MockToday, CagrTable[[#This Row],[Exp Date]])), "")</f>
        <v/>
      </c>
      <c r="AX18" s="166">
        <f>IF(AND(CagrTable[[#This Row],[Is Option]], NOT(CagrTable[[#This Row],[Is Open]])), IF(CagrTable[[#This Row],[Is Long]], CagrTable[[#This Row],[Sell Date]], CagrTable[[#This Row],[Acquire Date]]), "")</f>
        <v>46255.729166666664</v>
      </c>
      <c r="AY18" s="166" cm="1">
        <f t="array" ref="AY18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46255.729166666664</v>
      </c>
      <c r="AZ18" s="80" t="b">
        <f>IF(AND(CagrTable[[#This Row],[Visible]], CagrTable[[#This Row],[Is Open]]), OR(CagrTable[[#This Row],[Is Long]], AND(CagrTable[[#This Row],[Is Short]], CagrTable[[#This Row],[Is Naked Call]])), FALSE)</f>
        <v>0</v>
      </c>
      <c r="BA18" s="80" t="b">
        <f>AND(CagrTable[[#This Row],[Visible]], OR(NOT(CagrTable[[#This Row],[Is PLUG]]), CagrTable[[#This Row],[Plug Type]] = "MTM"))</f>
        <v>0</v>
      </c>
      <c r="BB18" s="80" t="b">
        <f>AND(CagrTable[[#This Row],[Visible]],NOT(CagrTable[[#This Row],[Is Open]]),NOT(CagrTable[[#This Row],[Plug Type]] = "MC"),CagrTable[[#This Row],[Position]]&lt;&gt;"DIV")</f>
        <v>0</v>
      </c>
      <c r="BC18" s="193">
        <f>IF(AND(CagrTable[[#This Row],[Visible]], CagrTable[[#This Row],[Plug Type]] = "MC"), CagrTable[[#This Row],[Basis]], 0)</f>
        <v>0</v>
      </c>
      <c r="BD18" s="182">
        <f>IF(CagrTable[[#This Row],[Is PLUG]], 0, CagrTable[[#This Row],[Proceeds]] - CagrTable[[#This Row],[Basis]])</f>
        <v>250.34</v>
      </c>
      <c r="BE18" s="180">
        <f>IF(AND(OR(CagrTable[[#This Row],[Is Short Call]],CagrTable[[#This Row],[Is Short Put]])), CagrTable[[#This Row],[Proceeds]], 0)</f>
        <v>250.34</v>
      </c>
      <c r="BF18" s="180">
        <f>IF(AND(OR(CagrTable[[#This Row],[Is Short Call]],CagrTable[[#This Row],[Is Short Put]])), CagrTable[[#This Row],[Basis]], 0)</f>
        <v>0</v>
      </c>
      <c r="BG18" s="173">
        <f>IF(CagrTable[[#This Row],[Covered Short Share Equivalent]] &gt; 0,-1 * CagrTable[[#This Row],[Premium Input]] / CagrTable[[#This Row],[Covered Short Share Equivalent]], 0)</f>
        <v>-2.5034000000000001</v>
      </c>
      <c r="BH18" s="173">
        <f>IF(CagrTable[[#This Row],[Covered Short Share Equivalent]] &gt; 0, CagrTable[[#This Row],[Premium Offset Input]] / CagrTable[[#This Row],[Covered Short Share Equivalent]], 0)</f>
        <v>0</v>
      </c>
      <c r="BI18" s="173">
        <f>SUM(CagrTable[[#This Row],[Premium ACB]:[Premium Offset ACB]])</f>
        <v>-2.5034000000000001</v>
      </c>
      <c r="BJ18" s="173">
        <f>IF(CagrTable[[#This Row],[Is Naked Short]],-1 * CagrTable[[#This Row],[Strike Price]] - (CagrTable[[#This Row],[Proceeds]] / CagrTable[[#This Row],[Naked Short Share Equivalent]]), 0)</f>
        <v>0</v>
      </c>
      <c r="BK18" s="173">
        <f>IF(CagrTable[[#This Row],[Is Short Put]], CagrTable[[#This Row],[Strike Price]] + CagrTable[[#This Row],[Net Short Premium ACB]], 0)</f>
        <v>0</v>
      </c>
      <c r="BL18" s="173">
        <f>IF(AND(CagrTable[[#This Row],[Is Long Call]], NOT(CagrTable[[#This Row],[Is PLUG]])), -1 * CagrTable[[#This Row],[P&amp;L]]/(CagrTable[[#This Row],[Qty]] * 100), 0)</f>
        <v>0</v>
      </c>
      <c r="BM18" s="173">
        <f>IF(AND(NOT(CagrTable[[#This Row],[Is Option]]), NOT(CagrTable[[#This Row],[Is PLUG]]), CagrTable[[#This Row],[Is Open]]), -CagrTable[[#This Row],[P&amp;L]]/CagrTable[[#This Row],[Qty]], 0)</f>
        <v>0</v>
      </c>
      <c r="BN18" s="173" t="b">
        <f>AND(_Total_ACB_Shares&lt;&gt;0, NOT(CagrTable[[#This Row],[Is PLUG]]))</f>
        <v>0</v>
      </c>
      <c r="BO18" s="173">
        <f>IF(OR(_Total_ACB_Shares=0, CagrTable[[#This Row],[Is PLUG]]), 0, (CagrTable[[#This Row],[ACB]] * CagrTable[[#This Row],[Qty]] * IF(CagrTable[[#This Row],[Is Option]], 100, 1))/ _Total_ACB_Shares)</f>
        <v>0</v>
      </c>
      <c r="BP18" s="184">
        <f t="shared" si="0"/>
        <v>1</v>
      </c>
      <c r="BQ18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-2.5034000000000001</v>
      </c>
      <c r="BR18" s="174">
        <f>CagrTable[[#This Row],[Prelim Weighted ACB]] * CagrTable[[#This Row],[ACB Sign]]</f>
        <v>0</v>
      </c>
      <c r="BS18" s="62">
        <f>CagrTable[[#This Row],[Proceeds]] - CagrTable[[#This Row],[Basis]]</f>
        <v>250.34</v>
      </c>
      <c r="BT18" s="91" t="s">
        <v>70</v>
      </c>
      <c r="BU18" s="63" t="s">
        <v>62</v>
      </c>
      <c r="BV18" s="63" t="s">
        <v>71</v>
      </c>
      <c r="BW18" s="63" t="s">
        <v>95</v>
      </c>
      <c r="BX18" s="27" t="s">
        <v>436</v>
      </c>
      <c r="BY18" s="58">
        <v>225.9</v>
      </c>
      <c r="BZ18" s="58">
        <v>2.5099999999999998</v>
      </c>
      <c r="CA18" s="100">
        <v>46237.410196759258</v>
      </c>
      <c r="CB18" s="58">
        <v>4.9000000000000004</v>
      </c>
      <c r="CC18" s="58">
        <v>1.05</v>
      </c>
      <c r="CD18" s="65">
        <v>37</v>
      </c>
      <c r="CE18" s="83"/>
      <c r="CF18" s="66" t="s">
        <v>73</v>
      </c>
      <c r="CG18" s="58"/>
      <c r="CH18" s="66" t="s">
        <v>434</v>
      </c>
      <c r="CI18" s="66" t="s">
        <v>65</v>
      </c>
      <c r="CJ18" s="66"/>
      <c r="CK18" s="58">
        <v>214.2</v>
      </c>
      <c r="CL18" s="58">
        <v>0</v>
      </c>
      <c r="CM18" s="64">
        <v>46255.708333333336</v>
      </c>
      <c r="CN18" s="58">
        <v>0</v>
      </c>
      <c r="CO18" s="58">
        <v>0</v>
      </c>
      <c r="CP18" s="67">
        <v>0</v>
      </c>
      <c r="CQ18" s="82"/>
      <c r="CR18" s="58"/>
      <c r="CS18" s="58"/>
      <c r="CT18" s="66" t="s">
        <v>76</v>
      </c>
      <c r="CU18" s="73"/>
      <c r="CV18" s="181" t="s">
        <v>435</v>
      </c>
      <c r="DC18" s="19"/>
      <c r="DL18" s="13"/>
    </row>
    <row r="19" spans="1:116" ht="12.75" hidden="1" customHeight="1">
      <c r="A19" s="69" t="s">
        <v>96</v>
      </c>
      <c r="B19" s="189" t="s">
        <v>100</v>
      </c>
      <c r="C19" s="88">
        <v>100</v>
      </c>
      <c r="D19" s="70">
        <v>8</v>
      </c>
      <c r="E19" s="1" t="str">
        <f>CONCATENATE(CagrTable[[#This Row],[Symbol]], CagrTable[[#This Row],[ID]])</f>
        <v>BA8</v>
      </c>
      <c r="F19" s="55"/>
      <c r="G19" s="56">
        <v>46191</v>
      </c>
      <c r="H19" s="58">
        <v>0</v>
      </c>
      <c r="I19" s="57">
        <f>IF(ISNUMBER(CagrTable[[#This Row],[Qty]]),CagrTable[[#This Row],[Basis]] /CagrTable[[#This Row],[Qty]], "")</f>
        <v>0</v>
      </c>
      <c r="J19" s="56">
        <v>46257</v>
      </c>
      <c r="K19" s="58">
        <v>21420</v>
      </c>
      <c r="L19" s="78">
        <f>IF(ISNUMBER(CagrTable[[#This Row],[Qty]]),CagrTable[[#This Row],[Proceeds]] / CagrTable[[#This Row],[Qty]], "")</f>
        <v>214.2</v>
      </c>
      <c r="M19" s="77">
        <f>IF(CagrTable[[#This Row],[Is Open]], CagrTable[[#This Row],[Date Opened]], CagrTable[[#This Row],[Date Closed]])</f>
        <v>46257</v>
      </c>
      <c r="N19" s="101" t="s">
        <v>230</v>
      </c>
      <c r="O19"/>
      <c r="P19" s="177"/>
      <c r="Q19" s="176"/>
      <c r="R19" s="71">
        <f>IF(CagrTable[[#This Row],[Sell Date]]=CagrTable[[#This Row],[Acquire Date]], 1, ABS(CagrTable[[#This Row],[Sell Date]] - CagrTable[[#This Row],[Acquire Date]]))</f>
        <v>66</v>
      </c>
      <c r="S19" s="59">
        <f>CagrTable[[#This Row],[Days Held]] / 30</f>
        <v>2.2000000000000002</v>
      </c>
      <c r="T19" s="178"/>
      <c r="U19" s="179"/>
      <c r="V19" s="158"/>
      <c r="W19" s="60"/>
      <c r="X19" s="75"/>
      <c r="Y19" s="61"/>
      <c r="Z19" s="85" t="str">
        <f>IF(OR(CagrTable[[#This Row],[Is Closed]]="", CagrTable[[#This Row],[Is Closed]]="H"),"Y","")</f>
        <v>Y</v>
      </c>
      <c r="AA19" s="85" t="str">
        <f>IF(OR(CagrTable[[#This Row],[Position]]="LNG",CagrTable[[#This Row],[Position]]="SHRT"),"Equity","Option")</f>
        <v>Option</v>
      </c>
      <c r="AB19" s="84">
        <f>IF(CagrTable[[#This Row],[Pricing Update Included]]="Y",IF(CagrTable[[#This Row],[Pricing Update Asset]]="Equity",CagrTable[[#This Row],[Symbol]],CagrTable[[#This Row],[Option Symbol]]),"")</f>
        <v>0</v>
      </c>
      <c r="AC19" s="80">
        <f>SUBTOTAL(103,CagrTable[[#This Row],[Symbol]])</f>
        <v>0</v>
      </c>
      <c r="AD19" s="80" t="b">
        <f>LEFT(CagrTable[[#This Row],[Position]],1)="L"</f>
        <v>0</v>
      </c>
      <c r="AE19" s="80" t="b">
        <f>LEFT(CagrTable[[#This Row],[Position]],1)="S"</f>
        <v>0</v>
      </c>
      <c r="AF19" s="80" t="b">
        <f>(CagrTable[[#This Row],[Position]] = "DIV")</f>
        <v>0</v>
      </c>
      <c r="AG19" s="80" t="b">
        <f>CagrTable[[#This Row],[Position]] = "PLUG"</f>
        <v>1</v>
      </c>
      <c r="AH19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1</v>
      </c>
      <c r="AI19" s="80" t="b">
        <f>CagrTable[[#This Row],[Is Closed]] &lt;&gt; "Y"</f>
        <v>1</v>
      </c>
      <c r="AJ19" s="84" t="b">
        <f>OR(CagrTable[[#This Row],[Option Type]]&lt;&gt;"",
  CagrTable[[#This Row],[Position]]="LC", CagrTable[[#This Row],[Position]]="SC",
  CagrTable[[#This Row],[Position]]="LP",CagrTable[[#This Row],[Position]]="SP"
)</f>
        <v>0</v>
      </c>
      <c r="AK19" s="84" t="b">
        <f>AND(CagrTable[[#This Row],[Option Type]] = "C", CagrTable[[#This Row],[Is Short]])</f>
        <v>0</v>
      </c>
      <c r="AL19" s="84" t="b">
        <f>AND(CagrTable[[#This Row],[Is Short Call]],CagrTable[[#This Row],[Is Naked Call]] = TRUE)</f>
        <v>0</v>
      </c>
      <c r="AM19" s="84" t="b">
        <f>AND(CagrTable[[#This Row],[Option Type]] = "P", CagrTable[[#This Row],[Is Short]])</f>
        <v>0</v>
      </c>
      <c r="AN19" s="84" t="b">
        <f>CagrTable[[#This Row],[Position]]= "LC"</f>
        <v>0</v>
      </c>
      <c r="AO19" s="169">
        <f>IF(AND(CagrTable[[#This Row],[Is Long]], NOT(CagrTable[[#This Row],[Position]]="LP")), CagrTable[[#This Row],[Qty]] * IF(CagrTable[[#This Row],[Is Option]], 100, 1), 0)</f>
        <v>0</v>
      </c>
      <c r="AP19" s="169">
        <f>IF(CagrTable[[#This Row],[Is Naked Short]], CagrTable[[#This Row],[Qty]] * -100, 0)</f>
        <v>0</v>
      </c>
      <c r="AQ19" s="169">
        <f>IF(CagrTable[[#This Row],[Is ACB Put]], CagrTable[[#This Row],[Qty]] * -100, 0)</f>
        <v>0</v>
      </c>
      <c r="AR19" s="169">
        <f>IF(AND(CagrTable[[#This Row],[Is Short]], NOT(CagrTable[[#This Row],[Is Naked Short]])), CagrTable[[#This Row],[Qty]] * IF(CagrTable[[#This Row],[Is Option]], 100, 1), 0)</f>
        <v>0</v>
      </c>
      <c r="AS19" s="169">
        <f>SUM(CagrTable[[#This Row],[Long Share Equivalent]:[Covered Short Share Equivalent]])</f>
        <v>0</v>
      </c>
      <c r="AT19" s="169">
        <f>IF(CagrTable[[#This Row],[Is Open]], SUM(CagrTable[[#This Row],[Long Share Equivalent]:[ACB Put Share Equivalent]]), 0)</f>
        <v>0</v>
      </c>
      <c r="AU19" s="166">
        <f>IF(OR(CagrTable[[#This Row],[Is Long]], CagrTable[[#This Row],[Is DIV]]), CagrTable[[#This Row],[Acquire Date]], CagrTable[[#This Row],[Sell Date]])</f>
        <v>46257</v>
      </c>
      <c r="AV19" s="166">
        <f>IF(NOT(CagrTable[[#This Row],[Is Option]]), IF(OR(CagrTable[[#This Row],[Is Long]], CagrTable[[#This Row],[Is DIV]]), CagrTable[[#This Row],[Sell Date]], CagrTable[[#This Row],[Acquire Date]]), "")</f>
        <v>46191</v>
      </c>
      <c r="AW19" s="166" t="str">
        <f>IF(AND(CagrTable[[#This Row],[Is Option]], CagrTable[[#This Row],[Is Open]]), IF(CagrTable[[#This Row],[Is Long Call]], CagrTable[[#This Row],[Exp Date]], MIN(MockToday, CagrTable[[#This Row],[Exp Date]])), "")</f>
        <v/>
      </c>
      <c r="AX19" s="166" t="str">
        <f>IF(AND(CagrTable[[#This Row],[Is Option]], NOT(CagrTable[[#This Row],[Is Open]])), IF(CagrTable[[#This Row],[Is Long]], CagrTable[[#This Row],[Sell Date]], CagrTable[[#This Row],[Acquire Date]]), "")</f>
        <v/>
      </c>
      <c r="AY19" s="166" cm="1">
        <f t="array" ref="AY19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46191</v>
      </c>
      <c r="AZ19" s="80" t="b">
        <f>IF(AND(CagrTable[[#This Row],[Visible]], CagrTable[[#This Row],[Is Open]]), OR(CagrTable[[#This Row],[Is Long]], AND(CagrTable[[#This Row],[Is Short]], CagrTable[[#This Row],[Is Naked Call]])), FALSE)</f>
        <v>0</v>
      </c>
      <c r="BA19" s="80" t="b">
        <f>AND(CagrTable[[#This Row],[Visible]], OR(NOT(CagrTable[[#This Row],[Is PLUG]]), CagrTable[[#This Row],[Plug Type]] = "MTM"))</f>
        <v>0</v>
      </c>
      <c r="BB19" s="80" t="b">
        <f>AND(CagrTable[[#This Row],[Visible]],NOT(CagrTable[[#This Row],[Is Open]]),NOT(CagrTable[[#This Row],[Plug Type]] = "MC"),CagrTable[[#This Row],[Position]]&lt;&gt;"DIV")</f>
        <v>0</v>
      </c>
      <c r="BC19" s="193">
        <f>IF(AND(CagrTable[[#This Row],[Visible]], CagrTable[[#This Row],[Plug Type]] = "MC"), CagrTable[[#This Row],[Basis]], 0)</f>
        <v>0</v>
      </c>
      <c r="BD19" s="182">
        <f>IF(CagrTable[[#This Row],[Is PLUG]], 0, CagrTable[[#This Row],[Proceeds]] - CagrTable[[#This Row],[Basis]])</f>
        <v>0</v>
      </c>
      <c r="BE19" s="180">
        <f>IF(AND(OR(CagrTable[[#This Row],[Is Short Call]],CagrTable[[#This Row],[Is Short Put]])), CagrTable[[#This Row],[Proceeds]], 0)</f>
        <v>0</v>
      </c>
      <c r="BF19" s="180">
        <f>IF(AND(OR(CagrTable[[#This Row],[Is Short Call]],CagrTable[[#This Row],[Is Short Put]])), CagrTable[[#This Row],[Basis]], 0)</f>
        <v>0</v>
      </c>
      <c r="BG19" s="173">
        <f>IF(CagrTable[[#This Row],[Covered Short Share Equivalent]] &gt; 0,-1 * CagrTable[[#This Row],[Premium Input]] / CagrTable[[#This Row],[Covered Short Share Equivalent]], 0)</f>
        <v>0</v>
      </c>
      <c r="BH19" s="173">
        <f>IF(CagrTable[[#This Row],[Covered Short Share Equivalent]] &gt; 0, CagrTable[[#This Row],[Premium Offset Input]] / CagrTable[[#This Row],[Covered Short Share Equivalent]], 0)</f>
        <v>0</v>
      </c>
      <c r="BI19" s="173">
        <f>SUM(CagrTable[[#This Row],[Premium ACB]:[Premium Offset ACB]])</f>
        <v>0</v>
      </c>
      <c r="BJ19" s="173">
        <f>IF(CagrTable[[#This Row],[Is Naked Short]],-1 * CagrTable[[#This Row],[Strike Price]] - (CagrTable[[#This Row],[Proceeds]] / CagrTable[[#This Row],[Naked Short Share Equivalent]]), 0)</f>
        <v>0</v>
      </c>
      <c r="BK19" s="173">
        <f>IF(CagrTable[[#This Row],[Is Short Put]], CagrTable[[#This Row],[Strike Price]] + CagrTable[[#This Row],[Net Short Premium ACB]], 0)</f>
        <v>0</v>
      </c>
      <c r="BL19" s="173">
        <f>IF(AND(CagrTable[[#This Row],[Is Long Call]], NOT(CagrTable[[#This Row],[Is PLUG]])), -1 * CagrTable[[#This Row],[P&amp;L]]/(CagrTable[[#This Row],[Qty]] * 100), 0)</f>
        <v>0</v>
      </c>
      <c r="BM19" s="173">
        <f>IF(AND(NOT(CagrTable[[#This Row],[Is Option]]), NOT(CagrTable[[#This Row],[Is PLUG]]), OR(CagrTable[[#This Row],[Is Open]], CagrTable[[#This Row],[Is DIV]]), N(CagrTable[[#This Row],[Qty]])&lt;&gt;0), -CagrTable[[#This Row],[P&amp;L]]/CagrTable[[#This Row],[Qty]], 0)</f>
        <v>0</v>
      </c>
      <c r="BN19" s="173" t="b">
        <f>AND(_Total_ACB_Shares&lt;&gt;0, NOT(CagrTable[[#This Row],[Is PLUG]]))</f>
        <v>0</v>
      </c>
      <c r="BO19" s="173">
        <f>IF(OR(_Total_ACB_Shares=0, CagrTable[[#This Row],[Is PLUG]]), 0, (CagrTable[[#This Row],[ACB]] * CagrTable[[#This Row],[Qty]] * IF(CagrTable[[#This Row],[Is Option]], 100, 1))/ _Total_ACB_Shares)</f>
        <v>0</v>
      </c>
      <c r="BP19" s="184">
        <f t="shared" si="0"/>
        <v>1</v>
      </c>
      <c r="BQ19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0</v>
      </c>
      <c r="BR19" s="174">
        <f>CagrTable[[#This Row],[Prelim Weighted ACB]] * CagrTable[[#This Row],[ACB Sign]]</f>
        <v>0</v>
      </c>
      <c r="BS19" s="62">
        <f>CagrTable[[#This Row],[Proceeds]] - CagrTable[[#This Row],[Basis]]</f>
        <v>21420</v>
      </c>
      <c r="BT19" s="91" t="s">
        <v>100</v>
      </c>
      <c r="BU19" s="63"/>
      <c r="BV19" s="63"/>
      <c r="BW19" s="63"/>
      <c r="BX19" s="27"/>
      <c r="BY19" s="58"/>
      <c r="BZ19" s="58"/>
      <c r="CA19" s="100"/>
      <c r="CB19" s="58"/>
      <c r="CC19" s="58"/>
      <c r="CD19" s="65"/>
      <c r="CE19" s="82"/>
      <c r="CF19" s="66"/>
      <c r="CG19" s="58"/>
      <c r="CH19" s="66"/>
      <c r="CI19" s="66"/>
      <c r="CJ19" s="66"/>
      <c r="CK19" s="58"/>
      <c r="CL19" s="58"/>
      <c r="CM19" s="64"/>
      <c r="CN19" s="58"/>
      <c r="CO19" s="58"/>
      <c r="CP19" s="67"/>
      <c r="CQ19" s="82"/>
      <c r="CR19" s="58"/>
      <c r="CS19" s="58"/>
      <c r="CT19" s="66"/>
      <c r="CU19" s="68"/>
      <c r="CV19" s="181" t="s">
        <v>372</v>
      </c>
      <c r="DC19" s="19"/>
      <c r="DL19" s="13"/>
    </row>
    <row r="20" spans="1:116" ht="12.75" hidden="1" customHeight="1">
      <c r="A20" s="69" t="s">
        <v>96</v>
      </c>
      <c r="B20" s="189" t="s">
        <v>100</v>
      </c>
      <c r="C20" s="88">
        <v>1</v>
      </c>
      <c r="D20" s="70">
        <v>8</v>
      </c>
      <c r="E20" s="1" t="str">
        <f>CONCATENATE(CagrTable[[#This Row],[Symbol]], CagrTable[[#This Row],[ID]])</f>
        <v>BA8</v>
      </c>
      <c r="F20" s="55"/>
      <c r="G20" s="56">
        <v>46191</v>
      </c>
      <c r="H20" s="58">
        <v>0</v>
      </c>
      <c r="I20" s="57">
        <f>IF(ISNUMBER(CagrTable[[#This Row],[Qty]]),CagrTable[[#This Row],[Basis]] /CagrTable[[#This Row],[Qty]], "")</f>
        <v>0</v>
      </c>
      <c r="J20" s="56">
        <v>46262</v>
      </c>
      <c r="K20" s="58">
        <v>0</v>
      </c>
      <c r="L20" s="78">
        <f>IF(ISNUMBER(CagrTable[[#This Row],[Qty]]),CagrTable[[#This Row],[Proceeds]] / CagrTable[[#This Row],[Qty]], "")</f>
        <v>0</v>
      </c>
      <c r="M20" s="77">
        <f>IF(CagrTable[[#This Row],[Is Open]], CagrTable[[#This Row],[Date Opened]], CagrTable[[#This Row],[Date Closed]])</f>
        <v>46262</v>
      </c>
      <c r="N20" s="101" t="s">
        <v>247</v>
      </c>
      <c r="O20"/>
      <c r="P20" s="177"/>
      <c r="Q20" s="176"/>
      <c r="R20" s="71">
        <f>IF(CagrTable[[#This Row],[Sell Date]]=CagrTable[[#This Row],[Acquire Date]], 1, ABS(CagrTable[[#This Row],[Sell Date]] - CagrTable[[#This Row],[Acquire Date]]))</f>
        <v>71</v>
      </c>
      <c r="S20" s="72">
        <f>CagrTable[[#This Row],[Days Held]] / 30</f>
        <v>2.3666666666666667</v>
      </c>
      <c r="T20" s="178"/>
      <c r="U20" s="179"/>
      <c r="V20" s="158"/>
      <c r="W20" s="60"/>
      <c r="X20" s="75"/>
      <c r="Y20" s="61"/>
      <c r="Z20" s="85" t="str">
        <f>IF(OR(CagrTable[[#This Row],[Is Closed]]="", CagrTable[[#This Row],[Is Closed]]="H"),"Y","")</f>
        <v>Y</v>
      </c>
      <c r="AA20" s="85" t="str">
        <f>IF(OR(CagrTable[[#This Row],[Position]]="LNG",CagrTable[[#This Row],[Position]]="SHRT"),"Equity","Option")</f>
        <v>Option</v>
      </c>
      <c r="AB20" s="84">
        <f>IF(CagrTable[[#This Row],[Pricing Update Included]]="Y",IF(CagrTable[[#This Row],[Pricing Update Asset]]="Equity",CagrTable[[#This Row],[Symbol]],CagrTable[[#This Row],[Option Symbol]]),"")</f>
        <v>0</v>
      </c>
      <c r="AC20" s="80">
        <f>SUBTOTAL(103,CagrTable[[#This Row],[Symbol]])</f>
        <v>0</v>
      </c>
      <c r="AD20" s="80" t="b">
        <f>LEFT(CagrTable[[#This Row],[Position]],1)="L"</f>
        <v>0</v>
      </c>
      <c r="AE20" s="80" t="b">
        <f>LEFT(CagrTable[[#This Row],[Position]],1)="S"</f>
        <v>0</v>
      </c>
      <c r="AF20" s="80" t="b">
        <f>(CagrTable[[#This Row],[Position]] = "DIV")</f>
        <v>0</v>
      </c>
      <c r="AG20" s="80" t="b">
        <f>CagrTable[[#This Row],[Position]] = "PLUG"</f>
        <v>1</v>
      </c>
      <c r="AH20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1</v>
      </c>
      <c r="AI20" s="80" t="b">
        <f>CagrTable[[#This Row],[Is Closed]] &lt;&gt; "Y"</f>
        <v>1</v>
      </c>
      <c r="AJ20" s="84" t="b">
        <f>OR(CagrTable[[#This Row],[Option Type]]&lt;&gt;"",
  CagrTable[[#This Row],[Position]]="LC", CagrTable[[#This Row],[Position]]="SC",
  CagrTable[[#This Row],[Position]]="LP",CagrTable[[#This Row],[Position]]="SP"
)</f>
        <v>0</v>
      </c>
      <c r="AK20" s="84" t="b">
        <f>AND(CagrTable[[#This Row],[Option Type]] = "C", CagrTable[[#This Row],[Is Short]])</f>
        <v>0</v>
      </c>
      <c r="AL20" s="84" t="b">
        <f>AND(CagrTable[[#This Row],[Is Short Call]],CagrTable[[#This Row],[Is Naked Call]] = TRUE)</f>
        <v>0</v>
      </c>
      <c r="AM20" s="84" t="b">
        <f>AND(CagrTable[[#This Row],[Option Type]] = "P", CagrTable[[#This Row],[Is Short]])</f>
        <v>0</v>
      </c>
      <c r="AN20" s="84" t="b">
        <f>CagrTable[[#This Row],[Position]]= "LC"</f>
        <v>0</v>
      </c>
      <c r="AO20" s="169">
        <f>IF(AND(CagrTable[[#This Row],[Is Long]], NOT(CagrTable[[#This Row],[Position]]="LP")), CagrTable[[#This Row],[Qty]] * IF(CagrTable[[#This Row],[Is Option]], 100, 1), 0)</f>
        <v>0</v>
      </c>
      <c r="AP20" s="169">
        <f>IF(CagrTable[[#This Row],[Is Naked Short]], CagrTable[[#This Row],[Qty]] * -100, 0)</f>
        <v>0</v>
      </c>
      <c r="AQ20" s="169">
        <f>IF(CagrTable[[#This Row],[Is ACB Put]], CagrTable[[#This Row],[Qty]] * -100, 0)</f>
        <v>0</v>
      </c>
      <c r="AR20" s="169">
        <f>IF(AND(CagrTable[[#This Row],[Is Short]], NOT(CagrTable[[#This Row],[Is Naked Short]])), CagrTable[[#This Row],[Qty]] * IF(CagrTable[[#This Row],[Is Option]], 100, 1), 0)</f>
        <v>0</v>
      </c>
      <c r="AS20" s="169">
        <f>SUM(CagrTable[[#This Row],[Long Share Equivalent]:[Covered Short Share Equivalent]])</f>
        <v>0</v>
      </c>
      <c r="AT20" s="169">
        <f>IF(CagrTable[[#This Row],[Is Open]], SUM(CagrTable[[#This Row],[Long Share Equivalent]:[ACB Put Share Equivalent]]), 0)</f>
        <v>0</v>
      </c>
      <c r="AU20" s="166">
        <f>IF(OR(CagrTable[[#This Row],[Is Long]], CagrTable[[#This Row],[Is DIV]]), CagrTable[[#This Row],[Acquire Date]], CagrTable[[#This Row],[Sell Date]])</f>
        <v>46262</v>
      </c>
      <c r="AV20" s="166">
        <f>IF(NOT(CagrTable[[#This Row],[Is Option]]), IF(OR(CagrTable[[#This Row],[Is Long]], CagrTable[[#This Row],[Is DIV]]), CagrTable[[#This Row],[Sell Date]], CagrTable[[#This Row],[Acquire Date]]), "")</f>
        <v>46191</v>
      </c>
      <c r="AW20" s="166" t="str">
        <f>IF(AND(CagrTable[[#This Row],[Is Option]], CagrTable[[#This Row],[Is Open]]), IF(CagrTable[[#This Row],[Is Long Call]], CagrTable[[#This Row],[Exp Date]], MIN(MockToday, CagrTable[[#This Row],[Exp Date]])), "")</f>
        <v/>
      </c>
      <c r="AX20" s="166" t="str">
        <f>IF(AND(CagrTable[[#This Row],[Is Option]], NOT(CagrTable[[#This Row],[Is Open]])), IF(CagrTable[[#This Row],[Is Long]], CagrTable[[#This Row],[Sell Date]], CagrTable[[#This Row],[Acquire Date]]), "")</f>
        <v/>
      </c>
      <c r="AY20" s="166" cm="1">
        <f t="array" ref="AY20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46191</v>
      </c>
      <c r="AZ20" s="80" t="b">
        <f>IF(AND(CagrTable[[#This Row],[Visible]], CagrTable[[#This Row],[Is Open]]), OR(CagrTable[[#This Row],[Is Long]], AND(CagrTable[[#This Row],[Is Short]], CagrTable[[#This Row],[Is Naked Call]])), FALSE)</f>
        <v>0</v>
      </c>
      <c r="BA20" s="80" t="b">
        <f>AND(CagrTable[[#This Row],[Visible]], OR(NOT(CagrTable[[#This Row],[Is PLUG]]), CagrTable[[#This Row],[Plug Type]] = "MTM"))</f>
        <v>0</v>
      </c>
      <c r="BB20" s="80" t="b">
        <f>AND(CagrTable[[#This Row],[Visible]],NOT(CagrTable[[#This Row],[Is Open]]),NOT(CagrTable[[#This Row],[Plug Type]] = "MC"),CagrTable[[#This Row],[Position]]&lt;&gt;"DIV")</f>
        <v>0</v>
      </c>
      <c r="BC20" s="193">
        <f>IF(AND(CagrTable[[#This Row],[Visible]], CagrTable[[#This Row],[Plug Type]] = "MC"), CagrTable[[#This Row],[Basis]], 0)</f>
        <v>0</v>
      </c>
      <c r="BD20" s="182">
        <f>IF(CagrTable[[#This Row],[Is PLUG]], 0, CagrTable[[#This Row],[Proceeds]] - CagrTable[[#This Row],[Basis]])</f>
        <v>0</v>
      </c>
      <c r="BE20" s="180">
        <f>IF(AND(OR(CagrTable[[#This Row],[Is Short Call]],CagrTable[[#This Row],[Is Short Put]])), CagrTable[[#This Row],[Proceeds]], 0)</f>
        <v>0</v>
      </c>
      <c r="BF20" s="180">
        <f>IF(AND(OR(CagrTable[[#This Row],[Is Short Call]],CagrTable[[#This Row],[Is Short Put]])), CagrTable[[#This Row],[Basis]], 0)</f>
        <v>0</v>
      </c>
      <c r="BG20" s="173">
        <f>IF(CagrTable[[#This Row],[Covered Short Share Equivalent]] &gt; 0,-1 * CagrTable[[#This Row],[Premium Input]] / CagrTable[[#This Row],[Covered Short Share Equivalent]], 0)</f>
        <v>0</v>
      </c>
      <c r="BH20" s="173">
        <f>IF(CagrTable[[#This Row],[Covered Short Share Equivalent]] &gt; 0, CagrTable[[#This Row],[Premium Offset Input]] / CagrTable[[#This Row],[Covered Short Share Equivalent]], 0)</f>
        <v>0</v>
      </c>
      <c r="BI20" s="173">
        <f>SUM(CagrTable[[#This Row],[Premium ACB]:[Premium Offset ACB]])</f>
        <v>0</v>
      </c>
      <c r="BJ20" s="173">
        <f>IF(CagrTable[[#This Row],[Is Naked Short]],-1 * CagrTable[[#This Row],[Strike Price]] - (CagrTable[[#This Row],[Proceeds]] / CagrTable[[#This Row],[Naked Short Share Equivalent]]), 0)</f>
        <v>0</v>
      </c>
      <c r="BK20" s="173">
        <f>IF(CagrTable[[#This Row],[Is Short Put]], CagrTable[[#This Row],[Strike Price]] + CagrTable[[#This Row],[Net Short Premium ACB]], 0)</f>
        <v>0</v>
      </c>
      <c r="BL20" s="173">
        <f>IF(AND(CagrTable[[#This Row],[Is Long Call]], NOT(CagrTable[[#This Row],[Is PLUG]])), -1 * CagrTable[[#This Row],[P&amp;L]]/(CagrTable[[#This Row],[Qty]] * 100), 0)</f>
        <v>0</v>
      </c>
      <c r="BM20" s="173">
        <f>IF(AND(NOT(CagrTable[[#This Row],[Is Option]]), NOT(CagrTable[[#This Row],[Is PLUG]]), OR(CagrTable[[#This Row],[Is Open]], CagrTable[[#This Row],[Is DIV]]), N(CagrTable[[#This Row],[Qty]])&lt;&gt;0), -CagrTable[[#This Row],[P&amp;L]]/CagrTable[[#This Row],[Qty]], 0)</f>
        <v>0</v>
      </c>
      <c r="BN20" s="173" t="b">
        <f>AND(_Total_ACB_Shares&lt;&gt;0, NOT(CagrTable[[#This Row],[Is PLUG]]))</f>
        <v>0</v>
      </c>
      <c r="BO20" s="173">
        <f>IF(OR(_Total_ACB_Shares=0, CagrTable[[#This Row],[Is PLUG]]), 0, (CagrTable[[#This Row],[ACB]] * CagrTable[[#This Row],[Qty]] * IF(CagrTable[[#This Row],[Is Option]], 100, 1))/ _Total_ACB_Shares)</f>
        <v>0</v>
      </c>
      <c r="BP20" s="184">
        <f t="shared" si="0"/>
        <v>1</v>
      </c>
      <c r="BQ20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0</v>
      </c>
      <c r="BR20" s="174">
        <f>CagrTable[[#This Row],[Prelim Weighted ACB]] * CagrTable[[#This Row],[ACB Sign]]</f>
        <v>0</v>
      </c>
      <c r="BS20" s="62">
        <f>CagrTable[[#This Row],[Proceeds]] - CagrTable[[#This Row],[Basis]]</f>
        <v>0</v>
      </c>
      <c r="BT20" s="91" t="s">
        <v>100</v>
      </c>
      <c r="BU20" s="63"/>
      <c r="BV20" s="63"/>
      <c r="BW20" s="63"/>
      <c r="BX20" s="27"/>
      <c r="BY20" s="58"/>
      <c r="BZ20" s="58"/>
      <c r="CA20" s="100"/>
      <c r="CB20" s="58"/>
      <c r="CC20" s="58"/>
      <c r="CD20" s="65"/>
      <c r="CE20" s="83"/>
      <c r="CF20" s="66"/>
      <c r="CG20" s="58"/>
      <c r="CH20" s="66"/>
      <c r="CI20" s="66"/>
      <c r="CJ20" s="66"/>
      <c r="CK20" s="58"/>
      <c r="CL20" s="58"/>
      <c r="CM20" s="64"/>
      <c r="CN20" s="58"/>
      <c r="CO20" s="58"/>
      <c r="CP20" s="67"/>
      <c r="CQ20" s="82"/>
      <c r="CR20" s="58"/>
      <c r="CS20" s="58"/>
      <c r="CT20" s="66"/>
      <c r="CU20" s="73"/>
      <c r="CV20" s="181" t="s">
        <v>432</v>
      </c>
      <c r="DC20" s="19"/>
      <c r="DL20" s="13"/>
    </row>
    <row r="21" spans="1:116" ht="12.75" hidden="1" customHeight="1">
      <c r="A21" s="69" t="s">
        <v>368</v>
      </c>
      <c r="B21" s="189" t="s">
        <v>60</v>
      </c>
      <c r="C21" s="88">
        <v>1000</v>
      </c>
      <c r="D21" s="70">
        <v>1</v>
      </c>
      <c r="E21" s="1" t="str">
        <f>CONCATENATE(CagrTable[[#This Row],[Symbol]], CagrTable[[#This Row],[ID]])</f>
        <v>DRAM1</v>
      </c>
      <c r="F21" s="55"/>
      <c r="G21" s="56">
        <v>46196.8669212963</v>
      </c>
      <c r="H21" s="58">
        <v>70700.92</v>
      </c>
      <c r="I21" s="57">
        <f>IF(ISNUMBER(CagrTable[[#This Row],[Qty]]),CagrTable[[#This Row],[Basis]] /CagrTable[[#This Row],[Qty]], "")</f>
        <v>70.700919999999996</v>
      </c>
      <c r="J21" s="56">
        <v>46198.302048611113</v>
      </c>
      <c r="K21" s="58">
        <v>0</v>
      </c>
      <c r="L21" s="78">
        <f>IF(ISNUMBER(CagrTable[[#This Row],[Qty]]),CagrTable[[#This Row],[Proceeds]] / CagrTable[[#This Row],[Qty]], "")</f>
        <v>0</v>
      </c>
      <c r="M21" s="77">
        <f>IF(CagrTable[[#This Row],[Is Open]], CagrTable[[#This Row],[Date Opened]], CagrTable[[#This Row],[Date Closed]])</f>
        <v>46196.8669212963</v>
      </c>
      <c r="N21" s="101"/>
      <c r="O21"/>
      <c r="P21" s="177"/>
      <c r="Q21" s="176"/>
      <c r="R21" s="71">
        <f>IF(CagrTable[[#This Row],[Sell Date]]=CagrTable[[#This Row],[Acquire Date]], 1, ABS(CagrTable[[#This Row],[Sell Date]] - CagrTable[[#This Row],[Acquire Date]]))</f>
        <v>1.435127314813144</v>
      </c>
      <c r="S21" s="72">
        <f>CagrTable[[#This Row],[Days Held]] / 30</f>
        <v>4.7837577160438134E-2</v>
      </c>
      <c r="T21" s="178">
        <v>0.02</v>
      </c>
      <c r="U21" s="179"/>
      <c r="V21" s="158"/>
      <c r="W21" s="60"/>
      <c r="X21" s="75"/>
      <c r="Y21" s="61"/>
      <c r="Z21" s="85" t="str">
        <f>IF(OR(CagrTable[[#This Row],[Is Closed]]="", CagrTable[[#This Row],[Is Closed]]="H"),"Y","")</f>
        <v>Y</v>
      </c>
      <c r="AA21" s="85" t="str">
        <f>IF(OR(CagrTable[[#This Row],[Position]]="LNG",CagrTable[[#This Row],[Position]]="SHRT"),"Equity","Option")</f>
        <v>Equity</v>
      </c>
      <c r="AB21" s="84" t="str">
        <f>IF(CagrTable[[#This Row],[Pricing Update Included]]="Y",IF(CagrTable[[#This Row],[Pricing Update Asset]]="Equity",CagrTable[[#This Row],[Symbol]],CagrTable[[#This Row],[Option Symbol]]),"")</f>
        <v>DRAM</v>
      </c>
      <c r="AC21" s="80">
        <f>SUBTOTAL(103,CagrTable[[#This Row],[Symbol]])</f>
        <v>0</v>
      </c>
      <c r="AD21" s="80" t="b">
        <f>LEFT(CagrTable[[#This Row],[Position]],1)="L"</f>
        <v>1</v>
      </c>
      <c r="AE21" s="80" t="b">
        <f>LEFT(CagrTable[[#This Row],[Position]],1)="S"</f>
        <v>0</v>
      </c>
      <c r="AF21" s="80" t="b">
        <f>(CagrTable[[#This Row],[Position]] = "DIV")</f>
        <v>0</v>
      </c>
      <c r="AG21" s="80" t="b">
        <f>CagrTable[[#This Row],[Position]] = "PLUG"</f>
        <v>0</v>
      </c>
      <c r="AH21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0</v>
      </c>
      <c r="AI21" s="80" t="b">
        <f>CagrTable[[#This Row],[Is Closed]] &lt;&gt; "Y"</f>
        <v>1</v>
      </c>
      <c r="AJ21" s="84" t="b">
        <f>OR(CagrTable[[#This Row],[Option Type]]&lt;&gt;"",
  CagrTable[[#This Row],[Position]]="LC", CagrTable[[#This Row],[Position]]="SC",
  CagrTable[[#This Row],[Position]]="LP",CagrTable[[#This Row],[Position]]="SP"
)</f>
        <v>0</v>
      </c>
      <c r="AK21" s="84" t="b">
        <f>AND(CagrTable[[#This Row],[Option Type]] = "C", CagrTable[[#This Row],[Is Short]])</f>
        <v>0</v>
      </c>
      <c r="AL21" s="84" t="b">
        <f>AND(CagrTable[[#This Row],[Is Short Call]],CagrTable[[#This Row],[Is Naked Call]] = TRUE)</f>
        <v>0</v>
      </c>
      <c r="AM21" s="84" t="b">
        <f>AND(CagrTable[[#This Row],[Option Type]] = "P", CagrTable[[#This Row],[Is Short]])</f>
        <v>0</v>
      </c>
      <c r="AN21" s="84" t="b">
        <f>CagrTable[[#This Row],[Position]]= "LC"</f>
        <v>0</v>
      </c>
      <c r="AO21" s="169">
        <f>IF(AND(CagrTable[[#This Row],[Is Long]], NOT(CagrTable[[#This Row],[Position]]="LP")), CagrTable[[#This Row],[Qty]] * IF(CagrTable[[#This Row],[Is Option]], 100, 1), 0)</f>
        <v>1000</v>
      </c>
      <c r="AP21" s="169">
        <f>IF(CagrTable[[#This Row],[Is Naked Short]], CagrTable[[#This Row],[Qty]] * -100, 0)</f>
        <v>0</v>
      </c>
      <c r="AQ21" s="169">
        <f>IF(CagrTable[[#This Row],[Is ACB Put]], CagrTable[[#This Row],[Qty]] * -100, 0)</f>
        <v>0</v>
      </c>
      <c r="AR21" s="169">
        <f>IF(AND(CagrTable[[#This Row],[Is Short]], NOT(CagrTable[[#This Row],[Is Naked Short]])), CagrTable[[#This Row],[Qty]] * IF(CagrTable[[#This Row],[Is Option]], 100, 1), 0)</f>
        <v>0</v>
      </c>
      <c r="AS21" s="169">
        <f>SUM(CagrTable[[#This Row],[Long Share Equivalent]:[Covered Short Share Equivalent]])</f>
        <v>1000</v>
      </c>
      <c r="AT21" s="169">
        <f>IF(CagrTable[[#This Row],[Is Open]], SUM(CagrTable[[#This Row],[Long Share Equivalent]:[ACB Put Share Equivalent]]), 0)</f>
        <v>1000</v>
      </c>
      <c r="AU21" s="166">
        <f>IF(OR(CagrTable[[#This Row],[Is Long]], CagrTable[[#This Row],[Is DIV]]), CagrTable[[#This Row],[Acquire Date]], CagrTable[[#This Row],[Sell Date]])</f>
        <v>46196.8669212963</v>
      </c>
      <c r="AV21" s="166">
        <f>IF(NOT(CagrTable[[#This Row],[Is Option]]), IF(OR(CagrTable[[#This Row],[Is Long]], CagrTable[[#This Row],[Is DIV]]), CagrTable[[#This Row],[Sell Date]], CagrTable[[#This Row],[Acquire Date]]), "")</f>
        <v>46198.302048611113</v>
      </c>
      <c r="AW21" s="166" t="str">
        <f>IF(AND(CagrTable[[#This Row],[Is Option]], CagrTable[[#This Row],[Is Open]]), IF(CagrTable[[#This Row],[Is Long Call]], CagrTable[[#This Row],[Exp Date]], MIN(MockToday, CagrTable[[#This Row],[Exp Date]])), "")</f>
        <v/>
      </c>
      <c r="AX21" s="166" t="str">
        <f>IF(AND(CagrTable[[#This Row],[Is Option]], NOT(CagrTable[[#This Row],[Is Open]])), IF(CagrTable[[#This Row],[Is Long]], CagrTable[[#This Row],[Sell Date]], CagrTable[[#This Row],[Acquire Date]]), "")</f>
        <v/>
      </c>
      <c r="AY21" s="166" cm="1">
        <f t="array" ref="AY21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46198.302048611113</v>
      </c>
      <c r="AZ21" s="80" t="b">
        <f>IF(AND(CagrTable[[#This Row],[Visible]], CagrTable[[#This Row],[Is Open]]), OR(CagrTable[[#This Row],[Is Long]], AND(CagrTable[[#This Row],[Is Short]], CagrTable[[#This Row],[Is Naked Call]])), FALSE)</f>
        <v>0</v>
      </c>
      <c r="BA21" s="80" t="b">
        <f>AND(CagrTable[[#This Row],[Visible]], OR(NOT(CagrTable[[#This Row],[Is PLUG]]), CagrTable[[#This Row],[Plug Type]] = "MTM"))</f>
        <v>0</v>
      </c>
      <c r="BB21" s="80" t="b">
        <f>AND(CagrTable[[#This Row],[Visible]],NOT(CagrTable[[#This Row],[Is Open]]),NOT(CagrTable[[#This Row],[Plug Type]] = "MC"),CagrTable[[#This Row],[Position]]&lt;&gt;"DIV")</f>
        <v>0</v>
      </c>
      <c r="BC21" s="193">
        <f>IF(AND(CagrTable[[#This Row],[Visible]], CagrTable[[#This Row],[Plug Type]] = "MC"), CagrTable[[#This Row],[Basis]], 0)</f>
        <v>0</v>
      </c>
      <c r="BD21" s="182">
        <f>IF(CagrTable[[#This Row],[Is PLUG]], 0, CagrTable[[#This Row],[Proceeds]] - CagrTable[[#This Row],[Basis]])</f>
        <v>-70700.92</v>
      </c>
      <c r="BE21" s="180">
        <f>IF(AND(OR(CagrTable[[#This Row],[Is Short Call]],CagrTable[[#This Row],[Is Short Put]])), CagrTable[[#This Row],[Proceeds]], 0)</f>
        <v>0</v>
      </c>
      <c r="BF21" s="180">
        <f>IF(AND(OR(CagrTable[[#This Row],[Is Short Call]],CagrTable[[#This Row],[Is Short Put]])), CagrTable[[#This Row],[Basis]], 0)</f>
        <v>0</v>
      </c>
      <c r="BG21" s="173">
        <f>IF(CagrTable[[#This Row],[Covered Short Share Equivalent]] &gt; 0,-1 * CagrTable[[#This Row],[Premium Input]] / CagrTable[[#This Row],[Covered Short Share Equivalent]], 0)</f>
        <v>0</v>
      </c>
      <c r="BH21" s="173">
        <f>IF(CagrTable[[#This Row],[Covered Short Share Equivalent]] &gt; 0, CagrTable[[#This Row],[Premium Offset Input]] / CagrTable[[#This Row],[Covered Short Share Equivalent]], 0)</f>
        <v>0</v>
      </c>
      <c r="BI21" s="173">
        <f>SUM(CagrTable[[#This Row],[Premium ACB]:[Premium Offset ACB]])</f>
        <v>0</v>
      </c>
      <c r="BJ21" s="173">
        <f>IF(CagrTable[[#This Row],[Is Naked Short]],-1 * CagrTable[[#This Row],[Strike Price]] - (CagrTable[[#This Row],[Proceeds]] / CagrTable[[#This Row],[Naked Short Share Equivalent]]), 0)</f>
        <v>0</v>
      </c>
      <c r="BK21" s="173">
        <f>IF(CagrTable[[#This Row],[Is Short Put]], CagrTable[[#This Row],[Strike Price]] + CagrTable[[#This Row],[Net Short Premium ACB]], 0)</f>
        <v>0</v>
      </c>
      <c r="BL21" s="173">
        <f>IF(AND(CagrTable[[#This Row],[Is Long Call]], NOT(CagrTable[[#This Row],[Is PLUG]])), -1 * CagrTable[[#This Row],[P&amp;L]]/(CagrTable[[#This Row],[Qty]] * 100), 0)</f>
        <v>0</v>
      </c>
      <c r="BM21" s="173">
        <f>IF(AND(NOT(CagrTable[[#This Row],[Is Option]]), NOT(CagrTable[[#This Row],[Is PLUG]]), OR(CagrTable[[#This Row],[Is Open]], CagrTable[[#This Row],[Is DIV]]), N(CagrTable[[#This Row],[Qty]])&lt;&gt;0), -CagrTable[[#This Row],[P&amp;L]]/CagrTable[[#This Row],[Qty]], 0)</f>
        <v>70.700919999999996</v>
      </c>
      <c r="BN21" s="173" t="b">
        <f>AND(_Total_ACB_Shares&lt;&gt;0, NOT(CagrTable[[#This Row],[Is PLUG]]))</f>
        <v>0</v>
      </c>
      <c r="BO21" s="173">
        <f>IF(OR(_Total_ACB_Shares=0, CagrTable[[#This Row],[Is PLUG]]), 0, (CagrTable[[#This Row],[ACB]] * CagrTable[[#This Row],[Qty]] * IF(CagrTable[[#This Row],[Is Option]], 100, 1))/ _Total_ACB_Shares)</f>
        <v>0</v>
      </c>
      <c r="BP21" s="184">
        <f t="shared" ref="BP21:BP34" si="1">IF(_Total_ACB_Shares &lt; 0, -1, 1)</f>
        <v>1</v>
      </c>
      <c r="BQ21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70.700919999999996</v>
      </c>
      <c r="BR21" s="174">
        <f>CagrTable[[#This Row],[Prelim Weighted ACB]] * CagrTable[[#This Row],[ACB Sign]]</f>
        <v>0</v>
      </c>
      <c r="BS21" s="62">
        <f>CagrTable[[#This Row],[Proceeds]] - CagrTable[[#This Row],[Basis]]</f>
        <v>-70700.92</v>
      </c>
      <c r="BT21" s="91" t="s">
        <v>84</v>
      </c>
      <c r="BU21" s="63" t="s">
        <v>62</v>
      </c>
      <c r="BV21" s="63" t="s">
        <v>75</v>
      </c>
      <c r="BW21" s="63" t="s">
        <v>72</v>
      </c>
      <c r="BX21" s="27" t="s">
        <v>371</v>
      </c>
      <c r="BY21" s="58">
        <v>0</v>
      </c>
      <c r="BZ21" s="58">
        <v>70.700900000000004</v>
      </c>
      <c r="CA21" s="100">
        <v>46196.8669212963</v>
      </c>
      <c r="CB21" s="58">
        <v>73.069999999999993</v>
      </c>
      <c r="CC21" s="58">
        <v>68.59</v>
      </c>
      <c r="CD21" s="65">
        <v>52</v>
      </c>
      <c r="CE21" s="83"/>
      <c r="CF21" s="66" t="s">
        <v>73</v>
      </c>
      <c r="CG21" s="58"/>
      <c r="CH21" s="66" t="s">
        <v>369</v>
      </c>
      <c r="CI21" s="66"/>
      <c r="CJ21" s="66"/>
      <c r="CK21" s="58"/>
      <c r="CL21" s="58"/>
      <c r="CM21" s="64"/>
      <c r="CN21" s="58"/>
      <c r="CO21" s="58"/>
      <c r="CP21" s="67"/>
      <c r="CQ21" s="82"/>
      <c r="CR21" s="58"/>
      <c r="CS21" s="58"/>
      <c r="CT21" s="66"/>
      <c r="CU21" s="73"/>
      <c r="CV21" s="181" t="s">
        <v>370</v>
      </c>
      <c r="DC21" s="19"/>
      <c r="DL21" s="13"/>
    </row>
    <row r="22" spans="1:116" ht="12.75" hidden="1" customHeight="1">
      <c r="A22" s="198" t="s">
        <v>368</v>
      </c>
      <c r="B22" s="189" t="s">
        <v>78</v>
      </c>
      <c r="C22" s="199">
        <v>10</v>
      </c>
      <c r="D22" s="70">
        <v>1</v>
      </c>
      <c r="E22" s="13" t="str">
        <f>CONCATENATE(CagrTable[[#This Row],[Symbol]], CagrTable[[#This Row],[ID]])</f>
        <v>DRAM1</v>
      </c>
      <c r="F22" s="55" t="s">
        <v>61</v>
      </c>
      <c r="G22" s="56">
        <v>46197.729166666664</v>
      </c>
      <c r="H22" s="58">
        <v>0</v>
      </c>
      <c r="I22" s="57">
        <f>IF(ISNUMBER(CagrTable[[#This Row],[Qty]]),CagrTable[[#This Row],[Basis]] /CagrTable[[#This Row],[Qty]], "")</f>
        <v>0</v>
      </c>
      <c r="J22" s="56">
        <v>46219.625393518516</v>
      </c>
      <c r="K22" s="58">
        <v>1123.8399999999999</v>
      </c>
      <c r="L22" s="57">
        <f>IF(ISNUMBER(CagrTable[[#This Row],[Qty]]),CagrTable[[#This Row],[Proceeds]] / CagrTable[[#This Row],[Qty]], "")</f>
        <v>112.38399999999999</v>
      </c>
      <c r="M22" s="77">
        <f>IF(CagrTable[[#This Row],[Is Open]], CagrTable[[#This Row],[Date Opened]], CagrTable[[#This Row],[Date Closed]])</f>
        <v>46197.729166666664</v>
      </c>
      <c r="N22" s="101"/>
      <c r="O22"/>
      <c r="P22" s="177"/>
      <c r="Q22" s="176"/>
      <c r="R22" s="71">
        <f>IF(CagrTable[[#This Row],[Sell Date]]=CagrTable[[#This Row],[Acquire Date]], 1, ABS(CagrTable[[#This Row],[Sell Date]] - CagrTable[[#This Row],[Acquire Date]]))</f>
        <v>21.896226851851679</v>
      </c>
      <c r="S22" s="72">
        <f>CagrTable[[#This Row],[Days Held]] / 30</f>
        <v>0.729874228395056</v>
      </c>
      <c r="T22" s="200">
        <v>6.16</v>
      </c>
      <c r="U22" s="195"/>
      <c r="V22" s="158">
        <v>46197.729166666664</v>
      </c>
      <c r="W22" s="60">
        <v>46</v>
      </c>
      <c r="X22" s="75" t="s">
        <v>83</v>
      </c>
      <c r="Y22" s="61" t="s">
        <v>418</v>
      </c>
      <c r="Z22" s="85" t="str">
        <f>IF(OR(CagrTable[[#This Row],[Is Closed]]="", CagrTable[[#This Row],[Is Closed]]="H"),"Y","")</f>
        <v/>
      </c>
      <c r="AA22" s="85" t="str">
        <f>IF(OR(CagrTable[[#This Row],[Position]]="LNG",CagrTable[[#This Row],[Position]]="SHRT"),"Equity","Option")</f>
        <v>Option</v>
      </c>
      <c r="AB22" s="84" t="str">
        <f>IF(CagrTable[[#This Row],[Pricing Update Included]]="Y",IF(CagrTable[[#This Row],[Pricing Update Asset]]="Equity",CagrTable[[#This Row],[Symbol]],CagrTable[[#This Row],[Option Symbol]]),"")</f>
        <v/>
      </c>
      <c r="AC22" s="80">
        <f>SUBTOTAL(103,CagrTable[[#This Row],[Symbol]])</f>
        <v>0</v>
      </c>
      <c r="AD22" s="201" t="b">
        <f>LEFT(CagrTable[[#This Row],[Position]],1)="L"</f>
        <v>0</v>
      </c>
      <c r="AE22" s="201" t="b">
        <f>LEFT(CagrTable[[#This Row],[Position]],1)="S"</f>
        <v>1</v>
      </c>
      <c r="AF22" s="201" t="b">
        <f>(CagrTable[[#This Row],[Position]] = "DIV")</f>
        <v>0</v>
      </c>
      <c r="AG22" s="201" t="b">
        <f>CagrTable[[#This Row],[Position]] = "PLUG"</f>
        <v>0</v>
      </c>
      <c r="AH22" s="201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0</v>
      </c>
      <c r="AI22" s="201" t="b">
        <f>CagrTable[[#This Row],[Is Closed]] &lt;&gt; "Y"</f>
        <v>0</v>
      </c>
      <c r="AJ22" s="84" t="b">
        <f>OR(CagrTable[[#This Row],[Option Type]]&lt;&gt;"",
  CagrTable[[#This Row],[Position]]="LC", CagrTable[[#This Row],[Position]]="SC",
  CagrTable[[#This Row],[Position]]="LP",CagrTable[[#This Row],[Position]]="SP"
)</f>
        <v>1</v>
      </c>
      <c r="AK22" s="84" t="b">
        <f>AND(CagrTable[[#This Row],[Option Type]] = "C", CagrTable[[#This Row],[Is Short]])</f>
        <v>0</v>
      </c>
      <c r="AL22" s="84" t="b">
        <f>AND(CagrTable[[#This Row],[Is Short Call]],CagrTable[[#This Row],[Is Naked Call]] = TRUE)</f>
        <v>0</v>
      </c>
      <c r="AM22" s="84" t="b">
        <f>AND(CagrTable[[#This Row],[Option Type]] = "P", CagrTable[[#This Row],[Is Short]])</f>
        <v>1</v>
      </c>
      <c r="AN22" s="84" t="b">
        <f>CagrTable[[#This Row],[Position]]= "LC"</f>
        <v>0</v>
      </c>
      <c r="AO22" s="202">
        <f>IF(AND(CagrTable[[#This Row],[Is Long]], NOT(CagrTable[[#This Row],[Position]]="LP")), CagrTable[[#This Row],[Qty]] * IF(CagrTable[[#This Row],[Is Option]], 100, 1), 0)</f>
        <v>0</v>
      </c>
      <c r="AP22" s="202">
        <f>IF(CagrTable[[#This Row],[Is Naked Short]], CagrTable[[#This Row],[Qty]] * -100, 0)</f>
        <v>0</v>
      </c>
      <c r="AQ22" s="202">
        <f>IF(CagrTable[[#This Row],[Is ACB Put]], CagrTable[[#This Row],[Qty]] * -100, 0)</f>
        <v>0</v>
      </c>
      <c r="AR22" s="202">
        <f>IF(AND(CagrTable[[#This Row],[Is Short]], NOT(CagrTable[[#This Row],[Is Naked Short]])), CagrTable[[#This Row],[Qty]] * IF(CagrTable[[#This Row],[Is Option]], 100, 1), 0)</f>
        <v>1000</v>
      </c>
      <c r="AS22" s="202">
        <f>SUM(CagrTable[[#This Row],[Long Share Equivalent]:[Covered Short Share Equivalent]])</f>
        <v>1000</v>
      </c>
      <c r="AT22" s="202">
        <f>IF(CagrTable[[#This Row],[Is Open]], SUM(CagrTable[[#This Row],[Long Share Equivalent]:[ACB Put Share Equivalent]]), 0)</f>
        <v>0</v>
      </c>
      <c r="AU22" s="203">
        <f>IF(OR(CagrTable[[#This Row],[Is Long]], CagrTable[[#This Row],[Is DIV]]), CagrTable[[#This Row],[Acquire Date]], CagrTable[[#This Row],[Sell Date]])</f>
        <v>46219.625393518516</v>
      </c>
      <c r="AV22" s="203" t="str">
        <f>IF(NOT(CagrTable[[#This Row],[Is Option]]), IF(OR(CagrTable[[#This Row],[Is Long]], CagrTable[[#This Row],[Is DIV]]), CagrTable[[#This Row],[Sell Date]], CagrTable[[#This Row],[Acquire Date]]), "")</f>
        <v/>
      </c>
      <c r="AW22" s="203" t="str">
        <f>IF(AND(CagrTable[[#This Row],[Is Option]], CagrTable[[#This Row],[Is Open]]), IF(CagrTable[[#This Row],[Is Long Call]], CagrTable[[#This Row],[Exp Date]], MIN(MockToday, CagrTable[[#This Row],[Exp Date]])), "")</f>
        <v/>
      </c>
      <c r="AX22" s="203">
        <f>IF(AND(CagrTable[[#This Row],[Is Option]], NOT(CagrTable[[#This Row],[Is Open]])), IF(CagrTable[[#This Row],[Is Long]], CagrTable[[#This Row],[Sell Date]], CagrTable[[#This Row],[Acquire Date]]), "")</f>
        <v>46197.729166666664</v>
      </c>
      <c r="AY22" s="203" cm="1">
        <f t="array" ref="AY22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46197.729166666664</v>
      </c>
      <c r="AZ22" s="201" t="b">
        <f>IF(AND(CagrTable[[#This Row],[Visible]], CagrTable[[#This Row],[Is Open]]), OR(CagrTable[[#This Row],[Is Long]], AND(CagrTable[[#This Row],[Is Short]], CagrTable[[#This Row],[Is Naked Call]])), FALSE)</f>
        <v>0</v>
      </c>
      <c r="BA22" s="201" t="b">
        <f>AND(CagrTable[[#This Row],[Visible]], OR(NOT(CagrTable[[#This Row],[Is PLUG]]), CagrTable[[#This Row],[Plug Type]] = "MTM"))</f>
        <v>0</v>
      </c>
      <c r="BB22" s="201" t="b">
        <f>AND(CagrTable[[#This Row],[Visible]],NOT(CagrTable[[#This Row],[Is Open]]),NOT(CagrTable[[#This Row],[Plug Type]] = "MC"),CagrTable[[#This Row],[Position]]&lt;&gt;"DIV")</f>
        <v>0</v>
      </c>
      <c r="BC22" s="204">
        <f>IF(AND(CagrTable[[#This Row],[Visible]], CagrTable[[#This Row],[Plug Type]] = "MC"), CagrTable[[#This Row],[Basis]], 0)</f>
        <v>0</v>
      </c>
      <c r="BD22" s="205">
        <f>IF(CagrTable[[#This Row],[Is PLUG]], 0, CagrTable[[#This Row],[Proceeds]] - CagrTable[[#This Row],[Basis]])</f>
        <v>1123.8399999999999</v>
      </c>
      <c r="BE22" s="180">
        <f>IF(AND(OR(CagrTable[[#This Row],[Is Short Call]],CagrTable[[#This Row],[Is Short Put]])), CagrTable[[#This Row],[Proceeds]], 0)</f>
        <v>1123.8399999999999</v>
      </c>
      <c r="BF22" s="180">
        <f>IF(AND(OR(CagrTable[[#This Row],[Is Short Call]],CagrTable[[#This Row],[Is Short Put]])), CagrTable[[#This Row],[Basis]], 0)</f>
        <v>0</v>
      </c>
      <c r="BG22" s="173">
        <f>IF(CagrTable[[#This Row],[Covered Short Share Equivalent]] &gt; 0,-1 * CagrTable[[#This Row],[Premium Input]] / CagrTable[[#This Row],[Covered Short Share Equivalent]], 0)</f>
        <v>-1.12384</v>
      </c>
      <c r="BH22" s="173">
        <f>IF(CagrTable[[#This Row],[Covered Short Share Equivalent]] &gt; 0, CagrTable[[#This Row],[Premium Offset Input]] / CagrTable[[#This Row],[Covered Short Share Equivalent]], 0)</f>
        <v>0</v>
      </c>
      <c r="BI22" s="173">
        <f>SUM(CagrTable[[#This Row],[Premium ACB]:[Premium Offset ACB]])</f>
        <v>-1.12384</v>
      </c>
      <c r="BJ22" s="173">
        <f>IF(CagrTable[[#This Row],[Is Naked Short]],-1 * CagrTable[[#This Row],[Strike Price]] - (CagrTable[[#This Row],[Proceeds]] / CagrTable[[#This Row],[Naked Short Share Equivalent]]), 0)</f>
        <v>0</v>
      </c>
      <c r="BK22" s="173">
        <f>IF(CagrTable[[#This Row],[Is Short Put]], CagrTable[[#This Row],[Strike Price]] + CagrTable[[#This Row],[Net Short Premium ACB]], 0)</f>
        <v>44.876159999999999</v>
      </c>
      <c r="BL22" s="173">
        <f>IF(AND(CagrTable[[#This Row],[Is Long Call]], NOT(CagrTable[[#This Row],[Is PLUG]])), -1 * CagrTable[[#This Row],[P&amp;L]]/(CagrTable[[#This Row],[Qty]] * 100), 0)</f>
        <v>0</v>
      </c>
      <c r="BM22" s="173">
        <f>IF(AND(NOT(CagrTable[[#This Row],[Is Option]]), NOT(CagrTable[[#This Row],[Is PLUG]]), OR(CagrTable[[#This Row],[Is Open]], CagrTable[[#This Row],[Is DIV]]), N(CagrTable[[#This Row],[Qty]])&lt;&gt;0), -CagrTable[[#This Row],[P&amp;L]]/CagrTable[[#This Row],[Qty]], 0)</f>
        <v>0</v>
      </c>
      <c r="BN22" s="173" t="b">
        <f>AND(_Total_ACB_Shares&lt;&gt;0, NOT(CagrTable[[#This Row],[Is PLUG]]))</f>
        <v>0</v>
      </c>
      <c r="BO22" s="173">
        <f>IF(OR(_Total_ACB_Shares=0, CagrTable[[#This Row],[Is PLUG]]), 0, (CagrTable[[#This Row],[ACB]] * CagrTable[[#This Row],[Qty]] * IF(CagrTable[[#This Row],[Is Option]], 100, 1))/ _Total_ACB_Shares)</f>
        <v>0</v>
      </c>
      <c r="BP22" s="184">
        <f t="shared" si="1"/>
        <v>1</v>
      </c>
      <c r="BQ22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-1.12384</v>
      </c>
      <c r="BR22" s="174">
        <f>CagrTable[[#This Row],[Prelim Weighted ACB]] * CagrTable[[#This Row],[ACB Sign]]</f>
        <v>0</v>
      </c>
      <c r="BS22" s="62">
        <f>CagrTable[[#This Row],[Proceeds]] - CagrTable[[#This Row],[Basis]]</f>
        <v>1123.8399999999999</v>
      </c>
      <c r="BT22" s="91" t="s">
        <v>79</v>
      </c>
      <c r="BU22" s="63" t="s">
        <v>74</v>
      </c>
      <c r="BV22" s="63" t="s">
        <v>71</v>
      </c>
      <c r="BW22" s="63" t="s">
        <v>87</v>
      </c>
      <c r="BX22" s="27"/>
      <c r="BY22" s="58">
        <v>52</v>
      </c>
      <c r="BZ22" s="58">
        <v>1.1299999999999999</v>
      </c>
      <c r="CA22" s="64">
        <v>46219.625393518516</v>
      </c>
      <c r="CB22" s="58">
        <v>1.1599999999999999</v>
      </c>
      <c r="CC22" s="58">
        <v>0.68</v>
      </c>
      <c r="CD22" s="65">
        <v>93</v>
      </c>
      <c r="CE22" s="83"/>
      <c r="CF22" s="66" t="s">
        <v>73</v>
      </c>
      <c r="CG22" s="58"/>
      <c r="CH22" s="66" t="s">
        <v>419</v>
      </c>
      <c r="CI22" s="66" t="s">
        <v>65</v>
      </c>
      <c r="CJ22" s="66"/>
      <c r="CK22" s="58">
        <v>53</v>
      </c>
      <c r="CL22" s="58">
        <v>0</v>
      </c>
      <c r="CM22" s="64">
        <v>46227.708333333336</v>
      </c>
      <c r="CN22" s="58">
        <v>0</v>
      </c>
      <c r="CO22" s="58">
        <v>0</v>
      </c>
      <c r="CP22" s="67">
        <v>0</v>
      </c>
      <c r="CQ22" s="82"/>
      <c r="CR22" s="58"/>
      <c r="CS22" s="58"/>
      <c r="CT22" s="66" t="s">
        <v>76</v>
      </c>
      <c r="CU22" s="73"/>
      <c r="CV22" s="181" t="s">
        <v>420</v>
      </c>
      <c r="DC22" s="19"/>
      <c r="DL22" s="13"/>
    </row>
    <row r="23" spans="1:116" ht="12.75" hidden="1" customHeight="1">
      <c r="A23" s="69" t="s">
        <v>368</v>
      </c>
      <c r="B23" s="189" t="s">
        <v>67</v>
      </c>
      <c r="C23" s="88">
        <v>10</v>
      </c>
      <c r="D23" s="70">
        <v>1</v>
      </c>
      <c r="E23" s="1" t="str">
        <f>CONCATENATE(CagrTable[[#This Row],[Symbol]], CagrTable[[#This Row],[ID]])</f>
        <v>DRAM1</v>
      </c>
      <c r="F23" s="55" t="s">
        <v>61</v>
      </c>
      <c r="G23" s="56">
        <v>46205.729166666664</v>
      </c>
      <c r="H23" s="58">
        <v>0</v>
      </c>
      <c r="I23" s="57">
        <f>IF(ISNUMBER(CagrTable[[#This Row],[Qty]]),CagrTable[[#This Row],[Basis]] /CagrTable[[#This Row],[Qty]], "")</f>
        <v>0</v>
      </c>
      <c r="J23" s="56">
        <v>46202.573622685188</v>
      </c>
      <c r="K23" s="58">
        <v>553.25</v>
      </c>
      <c r="L23" s="78">
        <f>IF(ISNUMBER(CagrTable[[#This Row],[Qty]]),CagrTable[[#This Row],[Proceeds]] / CagrTable[[#This Row],[Qty]], "")</f>
        <v>55.325000000000003</v>
      </c>
      <c r="M23" s="77">
        <f>IF(CagrTable[[#This Row],[Is Open]], CagrTable[[#This Row],[Date Opened]], CagrTable[[#This Row],[Date Closed]])</f>
        <v>46205.729166666664</v>
      </c>
      <c r="N23" s="101"/>
      <c r="O23"/>
      <c r="P23" s="177"/>
      <c r="Q23" s="176"/>
      <c r="R23" s="71">
        <f>IF(CagrTable[[#This Row],[Sell Date]]=CagrTable[[#This Row],[Acquire Date]], 1, ABS(CagrTable[[#This Row],[Sell Date]] - CagrTable[[#This Row],[Acquire Date]]))</f>
        <v>3.1555439814765123</v>
      </c>
      <c r="S23" s="72">
        <f>CagrTable[[#This Row],[Days Held]] / 30</f>
        <v>0.1051847993825504</v>
      </c>
      <c r="T23" s="178">
        <v>6.75</v>
      </c>
      <c r="U23" s="179"/>
      <c r="V23" s="158">
        <v>46205.729166666664</v>
      </c>
      <c r="W23" s="60">
        <v>78</v>
      </c>
      <c r="X23" s="75" t="s">
        <v>68</v>
      </c>
      <c r="Y23" s="61" t="s">
        <v>388</v>
      </c>
      <c r="Z23" s="85" t="str">
        <f>IF(OR(CagrTable[[#This Row],[Is Closed]]="", CagrTable[[#This Row],[Is Closed]]="H"),"Y","")</f>
        <v/>
      </c>
      <c r="AA23" s="85" t="str">
        <f>IF(OR(CagrTable[[#This Row],[Position]]="LNG",CagrTable[[#This Row],[Position]]="SHRT"),"Equity","Option")</f>
        <v>Option</v>
      </c>
      <c r="AB23" s="84" t="str">
        <f>IF(CagrTable[[#This Row],[Pricing Update Included]]="Y",IF(CagrTable[[#This Row],[Pricing Update Asset]]="Equity",CagrTable[[#This Row],[Symbol]],CagrTable[[#This Row],[Option Symbol]]),"")</f>
        <v/>
      </c>
      <c r="AC23" s="80">
        <f>SUBTOTAL(103,CagrTable[[#This Row],[Symbol]])</f>
        <v>0</v>
      </c>
      <c r="AD23" s="80" t="b">
        <f>LEFT(CagrTable[[#This Row],[Position]],1)="L"</f>
        <v>0</v>
      </c>
      <c r="AE23" s="80" t="b">
        <f>LEFT(CagrTable[[#This Row],[Position]],1)="S"</f>
        <v>1</v>
      </c>
      <c r="AF23" s="80" t="b">
        <f>(CagrTable[[#This Row],[Position]] = "DIV")</f>
        <v>0</v>
      </c>
      <c r="AG23" s="80" t="b">
        <f>CagrTable[[#This Row],[Position]] = "PLUG"</f>
        <v>0</v>
      </c>
      <c r="AH23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0</v>
      </c>
      <c r="AI23" s="80" t="b">
        <f>CagrTable[[#This Row],[Is Closed]] &lt;&gt; "Y"</f>
        <v>0</v>
      </c>
      <c r="AJ23" s="84" t="b">
        <f>OR(CagrTable[[#This Row],[Option Type]]&lt;&gt;"",
  CagrTable[[#This Row],[Position]]="LC", CagrTable[[#This Row],[Position]]="SC",
  CagrTable[[#This Row],[Position]]="LP",CagrTable[[#This Row],[Position]]="SP"
)</f>
        <v>1</v>
      </c>
      <c r="AK23" s="84" t="b">
        <f>AND(CagrTable[[#This Row],[Option Type]] = "C", CagrTable[[#This Row],[Is Short]])</f>
        <v>1</v>
      </c>
      <c r="AL23" s="84" t="b">
        <f>AND(CagrTable[[#This Row],[Is Short Call]],CagrTable[[#This Row],[Is Naked Call]] = TRUE)</f>
        <v>0</v>
      </c>
      <c r="AM23" s="84" t="b">
        <f>AND(CagrTable[[#This Row],[Option Type]] = "P", CagrTable[[#This Row],[Is Short]])</f>
        <v>0</v>
      </c>
      <c r="AN23" s="84" t="b">
        <f>CagrTable[[#This Row],[Position]]= "LC"</f>
        <v>0</v>
      </c>
      <c r="AO23" s="169">
        <f>IF(AND(CagrTable[[#This Row],[Is Long]], NOT(CagrTable[[#This Row],[Position]]="LP")), CagrTable[[#This Row],[Qty]] * IF(CagrTable[[#This Row],[Is Option]], 100, 1), 0)</f>
        <v>0</v>
      </c>
      <c r="AP23" s="169">
        <f>IF(CagrTable[[#This Row],[Is Naked Short]], CagrTable[[#This Row],[Qty]] * -100, 0)</f>
        <v>0</v>
      </c>
      <c r="AQ23" s="169">
        <f>IF(CagrTable[[#This Row],[Is ACB Put]], CagrTable[[#This Row],[Qty]] * -100, 0)</f>
        <v>0</v>
      </c>
      <c r="AR23" s="169">
        <f>IF(AND(CagrTable[[#This Row],[Is Short]], NOT(CagrTable[[#This Row],[Is Naked Short]])), CagrTable[[#This Row],[Qty]] * IF(CagrTable[[#This Row],[Is Option]], 100, 1), 0)</f>
        <v>1000</v>
      </c>
      <c r="AS23" s="169">
        <f>SUM(CagrTable[[#This Row],[Long Share Equivalent]:[Covered Short Share Equivalent]])</f>
        <v>1000</v>
      </c>
      <c r="AT23" s="169">
        <f>IF(CagrTable[[#This Row],[Is Open]], SUM(CagrTable[[#This Row],[Long Share Equivalent]:[ACB Put Share Equivalent]]), 0)</f>
        <v>0</v>
      </c>
      <c r="AU23" s="166">
        <f>IF(OR(CagrTable[[#This Row],[Is Long]], CagrTable[[#This Row],[Is DIV]]), CagrTable[[#This Row],[Acquire Date]], CagrTable[[#This Row],[Sell Date]])</f>
        <v>46202.573622685188</v>
      </c>
      <c r="AV23" s="166" t="str">
        <f>IF(NOT(CagrTable[[#This Row],[Is Option]]), IF(OR(CagrTable[[#This Row],[Is Long]], CagrTable[[#This Row],[Is DIV]]), CagrTable[[#This Row],[Sell Date]], CagrTable[[#This Row],[Acquire Date]]), "")</f>
        <v/>
      </c>
      <c r="AW23" s="166" t="str">
        <f>IF(AND(CagrTable[[#This Row],[Is Option]], CagrTable[[#This Row],[Is Open]]), IF(CagrTable[[#This Row],[Is Long Call]], CagrTable[[#This Row],[Exp Date]], MIN(MockToday, CagrTable[[#This Row],[Exp Date]])), "")</f>
        <v/>
      </c>
      <c r="AX23" s="166">
        <f>IF(AND(CagrTable[[#This Row],[Is Option]], NOT(CagrTable[[#This Row],[Is Open]])), IF(CagrTable[[#This Row],[Is Long]], CagrTable[[#This Row],[Sell Date]], CagrTable[[#This Row],[Acquire Date]]), "")</f>
        <v>46205.729166666664</v>
      </c>
      <c r="AY23" s="166" cm="1">
        <f t="array" ref="AY23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46205.729166666664</v>
      </c>
      <c r="AZ23" s="80" t="b">
        <f>IF(AND(CagrTable[[#This Row],[Visible]], CagrTable[[#This Row],[Is Open]]), OR(CagrTable[[#This Row],[Is Long]], AND(CagrTable[[#This Row],[Is Short]], CagrTable[[#This Row],[Is Naked Call]])), FALSE)</f>
        <v>0</v>
      </c>
      <c r="BA23" s="80" t="b">
        <f>AND(CagrTable[[#This Row],[Visible]], OR(NOT(CagrTable[[#This Row],[Is PLUG]]), CagrTable[[#This Row],[Plug Type]] = "MTM"))</f>
        <v>0</v>
      </c>
      <c r="BB23" s="80" t="b">
        <f>AND(CagrTable[[#This Row],[Visible]],NOT(CagrTable[[#This Row],[Is Open]]),NOT(CagrTable[[#This Row],[Plug Type]] = "MC"),CagrTable[[#This Row],[Position]]&lt;&gt;"DIV")</f>
        <v>0</v>
      </c>
      <c r="BC23" s="193">
        <f>IF(AND(CagrTable[[#This Row],[Visible]], CagrTable[[#This Row],[Plug Type]] = "MC"), CagrTable[[#This Row],[Basis]], 0)</f>
        <v>0</v>
      </c>
      <c r="BD23" s="182">
        <f>IF(CagrTable[[#This Row],[Is PLUG]], 0, CagrTable[[#This Row],[Proceeds]] - CagrTable[[#This Row],[Basis]])</f>
        <v>553.25</v>
      </c>
      <c r="BE23" s="180">
        <f>IF(AND(OR(CagrTable[[#This Row],[Is Short Call]],CagrTable[[#This Row],[Is Short Put]])), CagrTable[[#This Row],[Proceeds]], 0)</f>
        <v>553.25</v>
      </c>
      <c r="BF23" s="180">
        <f>IF(AND(OR(CagrTable[[#This Row],[Is Short Call]],CagrTable[[#This Row],[Is Short Put]])), CagrTable[[#This Row],[Basis]], 0)</f>
        <v>0</v>
      </c>
      <c r="BG23" s="173">
        <f>IF(CagrTable[[#This Row],[Covered Short Share Equivalent]] &gt; 0,-1 * CagrTable[[#This Row],[Premium Input]] / CagrTable[[#This Row],[Covered Short Share Equivalent]], 0)</f>
        <v>-0.55325000000000002</v>
      </c>
      <c r="BH23" s="173">
        <f>IF(CagrTable[[#This Row],[Covered Short Share Equivalent]] &gt; 0, CagrTable[[#This Row],[Premium Offset Input]] / CagrTable[[#This Row],[Covered Short Share Equivalent]], 0)</f>
        <v>0</v>
      </c>
      <c r="BI23" s="173">
        <f>SUM(CagrTable[[#This Row],[Premium ACB]:[Premium Offset ACB]])</f>
        <v>-0.55325000000000002</v>
      </c>
      <c r="BJ23" s="173">
        <f>IF(CagrTable[[#This Row],[Is Naked Short]],-1 * CagrTable[[#This Row],[Strike Price]] - (CagrTable[[#This Row],[Proceeds]] / CagrTable[[#This Row],[Naked Short Share Equivalent]]), 0)</f>
        <v>0</v>
      </c>
      <c r="BK23" s="173">
        <f>IF(CagrTable[[#This Row],[Is Short Put]], CagrTable[[#This Row],[Strike Price]] + CagrTable[[#This Row],[Net Short Premium ACB]], 0)</f>
        <v>0</v>
      </c>
      <c r="BL23" s="173">
        <f>IF(AND(CagrTable[[#This Row],[Is Long Call]], NOT(CagrTable[[#This Row],[Is PLUG]])), -1 * CagrTable[[#This Row],[P&amp;L]]/(CagrTable[[#This Row],[Qty]] * 100), 0)</f>
        <v>0</v>
      </c>
      <c r="BM23" s="173">
        <f>IF(AND(NOT(CagrTable[[#This Row],[Is Option]]), NOT(CagrTable[[#This Row],[Is PLUG]]), OR(CagrTable[[#This Row],[Is Open]], CagrTable[[#This Row],[Is DIV]]), N(CagrTable[[#This Row],[Qty]])&lt;&gt;0), -CagrTable[[#This Row],[P&amp;L]]/CagrTable[[#This Row],[Qty]], 0)</f>
        <v>0</v>
      </c>
      <c r="BN23" s="173" t="b">
        <f>AND(_Total_ACB_Shares&lt;&gt;0, NOT(CagrTable[[#This Row],[Is PLUG]]))</f>
        <v>0</v>
      </c>
      <c r="BO23" s="173">
        <f>IF(OR(_Total_ACB_Shares=0, CagrTable[[#This Row],[Is PLUG]]), 0, (CagrTable[[#This Row],[ACB]] * CagrTable[[#This Row],[Qty]] * IF(CagrTable[[#This Row],[Is Option]], 100, 1))/ _Total_ACB_Shares)</f>
        <v>0</v>
      </c>
      <c r="BP23" s="184">
        <f t="shared" si="1"/>
        <v>1</v>
      </c>
      <c r="BQ23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-0.55325000000000002</v>
      </c>
      <c r="BR23" s="174">
        <f>CagrTable[[#This Row],[Prelim Weighted ACB]] * CagrTable[[#This Row],[ACB Sign]]</f>
        <v>0</v>
      </c>
      <c r="BS23" s="62">
        <f>CagrTable[[#This Row],[Proceeds]] - CagrTable[[#This Row],[Basis]]</f>
        <v>553.25</v>
      </c>
      <c r="BT23" s="91" t="s">
        <v>70</v>
      </c>
      <c r="BU23" s="63" t="s">
        <v>62</v>
      </c>
      <c r="BV23" s="63" t="s">
        <v>71</v>
      </c>
      <c r="BW23" s="63" t="s">
        <v>87</v>
      </c>
      <c r="BX23" s="27"/>
      <c r="BY23" s="58">
        <v>70.8</v>
      </c>
      <c r="BZ23" s="58">
        <v>0.56000000000000005</v>
      </c>
      <c r="CA23" s="100">
        <v>46202.573622685188</v>
      </c>
      <c r="CB23" s="58">
        <v>0.88</v>
      </c>
      <c r="CC23" s="58">
        <v>0.17</v>
      </c>
      <c r="CD23" s="65">
        <v>54</v>
      </c>
      <c r="CE23" s="83"/>
      <c r="CF23" s="66" t="s">
        <v>73</v>
      </c>
      <c r="CG23" s="58"/>
      <c r="CH23" s="66" t="s">
        <v>389</v>
      </c>
      <c r="CI23" s="66" t="s">
        <v>65</v>
      </c>
      <c r="CJ23" s="66"/>
      <c r="CK23" s="58">
        <v>60.5</v>
      </c>
      <c r="CL23" s="58">
        <v>0</v>
      </c>
      <c r="CM23" s="64">
        <v>46199.708333333336</v>
      </c>
      <c r="CN23" s="58">
        <v>0</v>
      </c>
      <c r="CO23" s="58">
        <v>0</v>
      </c>
      <c r="CP23" s="67">
        <v>0</v>
      </c>
      <c r="CQ23" s="82"/>
      <c r="CR23" s="58"/>
      <c r="CS23" s="58"/>
      <c r="CT23" s="66" t="s">
        <v>76</v>
      </c>
      <c r="CU23" s="73"/>
      <c r="CV23" s="181" t="s">
        <v>390</v>
      </c>
      <c r="DC23" s="19"/>
      <c r="DL23" s="13"/>
    </row>
    <row r="24" spans="1:116" ht="12.75" hidden="1" customHeight="1">
      <c r="A24" s="69" t="s">
        <v>368</v>
      </c>
      <c r="B24" s="189" t="s">
        <v>78</v>
      </c>
      <c r="C24" s="88">
        <v>10</v>
      </c>
      <c r="D24" s="70">
        <v>1</v>
      </c>
      <c r="E24" s="1" t="str">
        <f>CONCATENATE(CagrTable[[#This Row],[Symbol]], CagrTable[[#This Row],[ID]])</f>
        <v>DRAM1</v>
      </c>
      <c r="F24" s="55" t="s">
        <v>61</v>
      </c>
      <c r="G24" s="56">
        <v>46205.729166666664</v>
      </c>
      <c r="H24" s="58">
        <v>0</v>
      </c>
      <c r="I24" s="57">
        <f>IF(ISNUMBER(CagrTable[[#This Row],[Qty]]),CagrTable[[#This Row],[Basis]] /CagrTable[[#This Row],[Qty]], "")</f>
        <v>0</v>
      </c>
      <c r="J24" s="56">
        <v>46202.407916666663</v>
      </c>
      <c r="K24" s="58">
        <v>533.25</v>
      </c>
      <c r="L24" s="78">
        <f>IF(ISNUMBER(CagrTable[[#This Row],[Qty]]),CagrTable[[#This Row],[Proceeds]] / CagrTable[[#This Row],[Qty]], "")</f>
        <v>53.325000000000003</v>
      </c>
      <c r="M24" s="77">
        <f>IF(CagrTable[[#This Row],[Is Open]], CagrTable[[#This Row],[Date Opened]], CagrTable[[#This Row],[Date Closed]])</f>
        <v>46205.729166666664</v>
      </c>
      <c r="N24" s="101"/>
      <c r="O24"/>
      <c r="P24" s="177"/>
      <c r="Q24" s="176"/>
      <c r="R24" s="71">
        <f>IF(CagrTable[[#This Row],[Sell Date]]=CagrTable[[#This Row],[Acquire Date]], 1, ABS(CagrTable[[#This Row],[Sell Date]] - CagrTable[[#This Row],[Acquire Date]]))</f>
        <v>3.3212500000008731</v>
      </c>
      <c r="S24" s="72">
        <f>CagrTable[[#This Row],[Days Held]] / 30</f>
        <v>0.11070833333336244</v>
      </c>
      <c r="T24" s="178">
        <v>6.75</v>
      </c>
      <c r="U24" s="179"/>
      <c r="V24" s="158">
        <v>46205.729166666664</v>
      </c>
      <c r="W24" s="60">
        <v>60</v>
      </c>
      <c r="X24" s="75" t="s">
        <v>83</v>
      </c>
      <c r="Y24" s="61" t="s">
        <v>383</v>
      </c>
      <c r="Z24" s="85" t="str">
        <f>IF(OR(CagrTable[[#This Row],[Is Closed]]="", CagrTable[[#This Row],[Is Closed]]="H"),"Y","")</f>
        <v/>
      </c>
      <c r="AA24" s="85" t="str">
        <f>IF(OR(CagrTable[[#This Row],[Position]]="LNG",CagrTable[[#This Row],[Position]]="SHRT"),"Equity","Option")</f>
        <v>Option</v>
      </c>
      <c r="AB24" s="84" t="str">
        <f>IF(CagrTable[[#This Row],[Pricing Update Included]]="Y",IF(CagrTable[[#This Row],[Pricing Update Asset]]="Equity",CagrTable[[#This Row],[Symbol]],CagrTable[[#This Row],[Option Symbol]]),"")</f>
        <v/>
      </c>
      <c r="AC24" s="80">
        <f>SUBTOTAL(103,CagrTable[[#This Row],[Symbol]])</f>
        <v>0</v>
      </c>
      <c r="AD24" s="80" t="b">
        <f>LEFT(CagrTable[[#This Row],[Position]],1)="L"</f>
        <v>0</v>
      </c>
      <c r="AE24" s="80" t="b">
        <f>LEFT(CagrTable[[#This Row],[Position]],1)="S"</f>
        <v>1</v>
      </c>
      <c r="AF24" s="80" t="b">
        <f>(CagrTable[[#This Row],[Position]] = "DIV")</f>
        <v>0</v>
      </c>
      <c r="AG24" s="80" t="b">
        <f>CagrTable[[#This Row],[Position]] = "PLUG"</f>
        <v>0</v>
      </c>
      <c r="AH24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0</v>
      </c>
      <c r="AI24" s="80" t="b">
        <f>CagrTable[[#This Row],[Is Closed]] &lt;&gt; "Y"</f>
        <v>0</v>
      </c>
      <c r="AJ24" s="84" t="b">
        <f>OR(CagrTable[[#This Row],[Option Type]]&lt;&gt;"",
  CagrTable[[#This Row],[Position]]="LC", CagrTable[[#This Row],[Position]]="SC",
  CagrTable[[#This Row],[Position]]="LP",CagrTable[[#This Row],[Position]]="SP"
)</f>
        <v>1</v>
      </c>
      <c r="AK24" s="84" t="b">
        <f>AND(CagrTable[[#This Row],[Option Type]] = "C", CagrTable[[#This Row],[Is Short]])</f>
        <v>0</v>
      </c>
      <c r="AL24" s="84" t="b">
        <f>AND(CagrTable[[#This Row],[Is Short Call]],CagrTable[[#This Row],[Is Naked Call]] = TRUE)</f>
        <v>0</v>
      </c>
      <c r="AM24" s="84" t="b">
        <f>AND(CagrTable[[#This Row],[Option Type]] = "P", CagrTable[[#This Row],[Is Short]])</f>
        <v>1</v>
      </c>
      <c r="AN24" s="84" t="b">
        <f>CagrTable[[#This Row],[Position]]= "LC"</f>
        <v>0</v>
      </c>
      <c r="AO24" s="169">
        <f>IF(AND(CagrTable[[#This Row],[Is Long]], NOT(CagrTable[[#This Row],[Position]]="LP")), CagrTable[[#This Row],[Qty]] * IF(CagrTable[[#This Row],[Is Option]], 100, 1), 0)</f>
        <v>0</v>
      </c>
      <c r="AP24" s="169">
        <f>IF(CagrTable[[#This Row],[Is Naked Short]], CagrTable[[#This Row],[Qty]] * -100, 0)</f>
        <v>0</v>
      </c>
      <c r="AQ24" s="169">
        <f>IF(CagrTable[[#This Row],[Is ACB Put]], CagrTable[[#This Row],[Qty]] * -100, 0)</f>
        <v>0</v>
      </c>
      <c r="AR24" s="169">
        <f>IF(AND(CagrTable[[#This Row],[Is Short]], NOT(CagrTable[[#This Row],[Is Naked Short]])), CagrTable[[#This Row],[Qty]] * IF(CagrTable[[#This Row],[Is Option]], 100, 1), 0)</f>
        <v>1000</v>
      </c>
      <c r="AS24" s="169">
        <f>SUM(CagrTable[[#This Row],[Long Share Equivalent]:[Covered Short Share Equivalent]])</f>
        <v>1000</v>
      </c>
      <c r="AT24" s="169">
        <f>IF(CagrTable[[#This Row],[Is Open]], SUM(CagrTable[[#This Row],[Long Share Equivalent]:[ACB Put Share Equivalent]]), 0)</f>
        <v>0</v>
      </c>
      <c r="AU24" s="166">
        <f>IF(OR(CagrTable[[#This Row],[Is Long]], CagrTable[[#This Row],[Is DIV]]), CagrTable[[#This Row],[Acquire Date]], CagrTable[[#This Row],[Sell Date]])</f>
        <v>46202.407916666663</v>
      </c>
      <c r="AV24" s="166" t="str">
        <f>IF(NOT(CagrTable[[#This Row],[Is Option]]), IF(OR(CagrTable[[#This Row],[Is Long]], CagrTable[[#This Row],[Is DIV]]), CagrTable[[#This Row],[Sell Date]], CagrTable[[#This Row],[Acquire Date]]), "")</f>
        <v/>
      </c>
      <c r="AW24" s="166" t="str">
        <f>IF(AND(CagrTable[[#This Row],[Is Option]], CagrTable[[#This Row],[Is Open]]), IF(CagrTable[[#This Row],[Is Long Call]], CagrTable[[#This Row],[Exp Date]], MIN(MockToday, CagrTable[[#This Row],[Exp Date]])), "")</f>
        <v/>
      </c>
      <c r="AX24" s="166">
        <f>IF(AND(CagrTable[[#This Row],[Is Option]], NOT(CagrTable[[#This Row],[Is Open]])), IF(CagrTable[[#This Row],[Is Long]], CagrTable[[#This Row],[Sell Date]], CagrTable[[#This Row],[Acquire Date]]), "")</f>
        <v>46205.729166666664</v>
      </c>
      <c r="AY24" s="166" cm="1">
        <f t="array" ref="AY24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46205.729166666664</v>
      </c>
      <c r="AZ24" s="80" t="b">
        <f>IF(AND(CagrTable[[#This Row],[Visible]], CagrTable[[#This Row],[Is Open]]), OR(CagrTable[[#This Row],[Is Long]], AND(CagrTable[[#This Row],[Is Short]], CagrTable[[#This Row],[Is Naked Call]])), FALSE)</f>
        <v>0</v>
      </c>
      <c r="BA24" s="80" t="b">
        <f>AND(CagrTable[[#This Row],[Visible]], OR(NOT(CagrTable[[#This Row],[Is PLUG]]), CagrTable[[#This Row],[Plug Type]] = "MTM"))</f>
        <v>0</v>
      </c>
      <c r="BB24" s="80" t="b">
        <f>AND(CagrTable[[#This Row],[Visible]],NOT(CagrTable[[#This Row],[Is Open]]),NOT(CagrTable[[#This Row],[Plug Type]] = "MC"),CagrTable[[#This Row],[Position]]&lt;&gt;"DIV")</f>
        <v>0</v>
      </c>
      <c r="BC24" s="193">
        <f>IF(AND(CagrTable[[#This Row],[Visible]], CagrTable[[#This Row],[Plug Type]] = "MC"), CagrTable[[#This Row],[Basis]], 0)</f>
        <v>0</v>
      </c>
      <c r="BD24" s="182">
        <f>IF(CagrTable[[#This Row],[Is PLUG]], 0, CagrTable[[#This Row],[Proceeds]] - CagrTable[[#This Row],[Basis]])</f>
        <v>533.25</v>
      </c>
      <c r="BE24" s="180">
        <f>IF(AND(OR(CagrTable[[#This Row],[Is Short Call]],CagrTable[[#This Row],[Is Short Put]])), CagrTable[[#This Row],[Proceeds]], 0)</f>
        <v>533.25</v>
      </c>
      <c r="BF24" s="180">
        <f>IF(AND(OR(CagrTable[[#This Row],[Is Short Call]],CagrTable[[#This Row],[Is Short Put]])), CagrTable[[#This Row],[Basis]], 0)</f>
        <v>0</v>
      </c>
      <c r="BG24" s="173">
        <f>IF(CagrTable[[#This Row],[Covered Short Share Equivalent]] &gt; 0,-1 * CagrTable[[#This Row],[Premium Input]] / CagrTable[[#This Row],[Covered Short Share Equivalent]], 0)</f>
        <v>-0.53325</v>
      </c>
      <c r="BH24" s="173">
        <f>IF(CagrTable[[#This Row],[Covered Short Share Equivalent]] &gt; 0, CagrTable[[#This Row],[Premium Offset Input]] / CagrTable[[#This Row],[Covered Short Share Equivalent]], 0)</f>
        <v>0</v>
      </c>
      <c r="BI24" s="173">
        <f>SUM(CagrTable[[#This Row],[Premium ACB]:[Premium Offset ACB]])</f>
        <v>-0.53325</v>
      </c>
      <c r="BJ24" s="173">
        <f>IF(CagrTable[[#This Row],[Is Naked Short]],-1 * CagrTable[[#This Row],[Strike Price]] - (CagrTable[[#This Row],[Proceeds]] / CagrTable[[#This Row],[Naked Short Share Equivalent]]), 0)</f>
        <v>0</v>
      </c>
      <c r="BK24" s="173">
        <f>IF(CagrTable[[#This Row],[Is Short Put]], CagrTable[[#This Row],[Strike Price]] + CagrTable[[#This Row],[Net Short Premium ACB]], 0)</f>
        <v>59.466749999999998</v>
      </c>
      <c r="BL24" s="173">
        <f>IF(AND(CagrTable[[#This Row],[Is Long Call]], NOT(CagrTable[[#This Row],[Is PLUG]])), -1 * CagrTable[[#This Row],[P&amp;L]]/(CagrTable[[#This Row],[Qty]] * 100), 0)</f>
        <v>0</v>
      </c>
      <c r="BM24" s="173">
        <f>IF(AND(NOT(CagrTable[[#This Row],[Is Option]]), NOT(CagrTable[[#This Row],[Is PLUG]]), OR(CagrTable[[#This Row],[Is Open]], CagrTable[[#This Row],[Is DIV]]), N(CagrTable[[#This Row],[Qty]])&lt;&gt;0), -CagrTable[[#This Row],[P&amp;L]]/CagrTable[[#This Row],[Qty]], 0)</f>
        <v>0</v>
      </c>
      <c r="BN24" s="173" t="b">
        <f>AND(_Total_ACB_Shares&lt;&gt;0, NOT(CagrTable[[#This Row],[Is PLUG]]))</f>
        <v>0</v>
      </c>
      <c r="BO24" s="173">
        <f>IF(OR(_Total_ACB_Shares=0, CagrTable[[#This Row],[Is PLUG]]), 0, (CagrTable[[#This Row],[ACB]] * CagrTable[[#This Row],[Qty]] * IF(CagrTable[[#This Row],[Is Option]], 100, 1))/ _Total_ACB_Shares)</f>
        <v>0</v>
      </c>
      <c r="BP24" s="184">
        <f t="shared" si="1"/>
        <v>1</v>
      </c>
      <c r="BQ24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-0.53325</v>
      </c>
      <c r="BR24" s="174">
        <f>CagrTable[[#This Row],[Prelim Weighted ACB]] * CagrTable[[#This Row],[ACB Sign]]</f>
        <v>0</v>
      </c>
      <c r="BS24" s="62">
        <f>CagrTable[[#This Row],[Proceeds]] - CagrTable[[#This Row],[Basis]]</f>
        <v>533.25</v>
      </c>
      <c r="BT24" s="91" t="s">
        <v>79</v>
      </c>
      <c r="BU24" s="63" t="s">
        <v>62</v>
      </c>
      <c r="BV24" s="63" t="s">
        <v>71</v>
      </c>
      <c r="BW24" s="63" t="s">
        <v>72</v>
      </c>
      <c r="BX24" s="27"/>
      <c r="BY24" s="58">
        <v>69.400000000000006</v>
      </c>
      <c r="BZ24" s="58">
        <v>0.54</v>
      </c>
      <c r="CA24" s="100">
        <v>46202.407916666663</v>
      </c>
      <c r="CB24" s="58">
        <v>0.91</v>
      </c>
      <c r="CC24" s="58">
        <v>0.26</v>
      </c>
      <c r="CD24" s="65">
        <v>43</v>
      </c>
      <c r="CE24" s="83"/>
      <c r="CF24" s="66" t="s">
        <v>73</v>
      </c>
      <c r="CG24" s="58"/>
      <c r="CH24" s="66" t="s">
        <v>384</v>
      </c>
      <c r="CI24" s="66" t="s">
        <v>65</v>
      </c>
      <c r="CJ24" s="66"/>
      <c r="CK24" s="58">
        <v>60.5</v>
      </c>
      <c r="CL24" s="58">
        <v>0</v>
      </c>
      <c r="CM24" s="64">
        <v>46199.708333333336</v>
      </c>
      <c r="CN24" s="58">
        <v>0</v>
      </c>
      <c r="CO24" s="58">
        <v>0</v>
      </c>
      <c r="CP24" s="67">
        <v>0</v>
      </c>
      <c r="CQ24" s="82"/>
      <c r="CR24" s="58"/>
      <c r="CS24" s="58"/>
      <c r="CT24" s="66" t="s">
        <v>76</v>
      </c>
      <c r="CU24" s="73"/>
      <c r="CV24" s="181" t="s">
        <v>385</v>
      </c>
      <c r="DC24" s="19"/>
      <c r="DL24" s="13"/>
    </row>
    <row r="25" spans="1:116" ht="12.75" hidden="1" customHeight="1">
      <c r="A25" s="69" t="s">
        <v>368</v>
      </c>
      <c r="B25" s="189" t="s">
        <v>78</v>
      </c>
      <c r="C25" s="88">
        <v>10</v>
      </c>
      <c r="D25" s="70">
        <v>1</v>
      </c>
      <c r="E25" s="1" t="str">
        <f>CONCATENATE(CagrTable[[#This Row],[Symbol]], CagrTable[[#This Row],[ID]])</f>
        <v>DRAM1</v>
      </c>
      <c r="F25" s="55" t="s">
        <v>61</v>
      </c>
      <c r="G25" s="56">
        <v>46212.492858796293</v>
      </c>
      <c r="H25" s="58">
        <v>100.13</v>
      </c>
      <c r="I25" s="57">
        <f>IF(ISNUMBER(CagrTable[[#This Row],[Qty]]),CagrTable[[#This Row],[Basis]] /CagrTable[[#This Row],[Qty]], "")</f>
        <v>10.013</v>
      </c>
      <c r="J25" s="56">
        <v>46210.422500000001</v>
      </c>
      <c r="K25" s="58">
        <v>1093.3399999999999</v>
      </c>
      <c r="L25" s="78">
        <f>IF(ISNUMBER(CagrTable[[#This Row],[Qty]]),CagrTable[[#This Row],[Proceeds]] / CagrTable[[#This Row],[Qty]], "")</f>
        <v>109.33399999999999</v>
      </c>
      <c r="M25" s="77">
        <f>IF(CagrTable[[#This Row],[Is Open]], CagrTable[[#This Row],[Date Opened]], CagrTable[[#This Row],[Date Closed]])</f>
        <v>46212.492858796293</v>
      </c>
      <c r="N25" s="101"/>
      <c r="O25"/>
      <c r="P25" s="177"/>
      <c r="Q25" s="176"/>
      <c r="R25" s="71">
        <f>IF(CagrTable[[#This Row],[Sell Date]]=CagrTable[[#This Row],[Acquire Date]], 1, ABS(CagrTable[[#This Row],[Sell Date]] - CagrTable[[#This Row],[Acquire Date]]))</f>
        <v>2.0703587962925667</v>
      </c>
      <c r="S25" s="59">
        <f>CagrTable[[#This Row],[Days Held]] / 30</f>
        <v>6.9011959876418894E-2</v>
      </c>
      <c r="T25" s="178">
        <v>6.66</v>
      </c>
      <c r="U25" s="179">
        <v>0.13</v>
      </c>
      <c r="V25" s="158">
        <v>46213.729166666664</v>
      </c>
      <c r="W25" s="60">
        <v>55</v>
      </c>
      <c r="X25" s="75" t="s">
        <v>83</v>
      </c>
      <c r="Y25" s="61" t="s">
        <v>398</v>
      </c>
      <c r="Z25" s="85" t="str">
        <f>IF(OR(CagrTable[[#This Row],[Is Closed]]="", CagrTable[[#This Row],[Is Closed]]="H"),"Y","")</f>
        <v/>
      </c>
      <c r="AA25" s="85" t="str">
        <f>IF(OR(CagrTable[[#This Row],[Position]]="LNG",CagrTable[[#This Row],[Position]]="SHRT"),"Equity","Option")</f>
        <v>Option</v>
      </c>
      <c r="AB25" s="84" t="str">
        <f>IF(CagrTable[[#This Row],[Pricing Update Included]]="Y",IF(CagrTable[[#This Row],[Pricing Update Asset]]="Equity",CagrTable[[#This Row],[Symbol]],CagrTable[[#This Row],[Option Symbol]]),"")</f>
        <v/>
      </c>
      <c r="AC25" s="80">
        <f>SUBTOTAL(103,CagrTable[[#This Row],[Symbol]])</f>
        <v>0</v>
      </c>
      <c r="AD25" s="80" t="b">
        <f>LEFT(CagrTable[[#This Row],[Position]],1)="L"</f>
        <v>0</v>
      </c>
      <c r="AE25" s="80" t="b">
        <f>LEFT(CagrTable[[#This Row],[Position]],1)="S"</f>
        <v>1</v>
      </c>
      <c r="AF25" s="80" t="b">
        <f>(CagrTable[[#This Row],[Position]] = "DIV")</f>
        <v>0</v>
      </c>
      <c r="AG25" s="80" t="b">
        <f>CagrTable[[#This Row],[Position]] = "PLUG"</f>
        <v>0</v>
      </c>
      <c r="AH25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0</v>
      </c>
      <c r="AI25" s="80" t="b">
        <f>CagrTable[[#This Row],[Is Closed]] &lt;&gt; "Y"</f>
        <v>0</v>
      </c>
      <c r="AJ25" s="84" t="b">
        <f>OR(CagrTable[[#This Row],[Option Type]]&lt;&gt;"",
  CagrTable[[#This Row],[Position]]="LC", CagrTable[[#This Row],[Position]]="SC",
  CagrTable[[#This Row],[Position]]="LP",CagrTable[[#This Row],[Position]]="SP"
)</f>
        <v>1</v>
      </c>
      <c r="AK25" s="84" t="b">
        <f>AND(CagrTable[[#This Row],[Option Type]] = "C", CagrTable[[#This Row],[Is Short]])</f>
        <v>0</v>
      </c>
      <c r="AL25" s="84" t="b">
        <f>AND(CagrTable[[#This Row],[Is Short Call]],CagrTable[[#This Row],[Is Naked Call]] = TRUE)</f>
        <v>0</v>
      </c>
      <c r="AM25" s="84" t="b">
        <f>AND(CagrTable[[#This Row],[Option Type]] = "P", CagrTable[[#This Row],[Is Short]])</f>
        <v>1</v>
      </c>
      <c r="AN25" s="84" t="b">
        <f>CagrTable[[#This Row],[Position]]= "LC"</f>
        <v>0</v>
      </c>
      <c r="AO25" s="169">
        <f>IF(AND(CagrTable[[#This Row],[Is Long]], NOT(CagrTable[[#This Row],[Position]]="LP")), CagrTable[[#This Row],[Qty]] * IF(CagrTable[[#This Row],[Is Option]], 100, 1), 0)</f>
        <v>0</v>
      </c>
      <c r="AP25" s="169">
        <f>IF(CagrTable[[#This Row],[Is Naked Short]], CagrTable[[#This Row],[Qty]] * -100, 0)</f>
        <v>0</v>
      </c>
      <c r="AQ25" s="169">
        <f>IF(CagrTable[[#This Row],[Is ACB Put]], CagrTable[[#This Row],[Qty]] * -100, 0)</f>
        <v>0</v>
      </c>
      <c r="AR25" s="169">
        <f>IF(AND(CagrTable[[#This Row],[Is Short]], NOT(CagrTable[[#This Row],[Is Naked Short]])), CagrTable[[#This Row],[Qty]] * IF(CagrTable[[#This Row],[Is Option]], 100, 1), 0)</f>
        <v>1000</v>
      </c>
      <c r="AS25" s="169">
        <f>SUM(CagrTable[[#This Row],[Long Share Equivalent]:[Covered Short Share Equivalent]])</f>
        <v>1000</v>
      </c>
      <c r="AT25" s="169">
        <f>IF(CagrTable[[#This Row],[Is Open]], SUM(CagrTable[[#This Row],[Long Share Equivalent]:[ACB Put Share Equivalent]]), 0)</f>
        <v>0</v>
      </c>
      <c r="AU25" s="166">
        <f>IF(OR(CagrTable[[#This Row],[Is Long]], CagrTable[[#This Row],[Is DIV]]), CagrTable[[#This Row],[Acquire Date]], CagrTable[[#This Row],[Sell Date]])</f>
        <v>46210.422500000001</v>
      </c>
      <c r="AV25" s="166" t="str">
        <f>IF(NOT(CagrTable[[#This Row],[Is Option]]), IF(OR(CagrTable[[#This Row],[Is Long]], CagrTable[[#This Row],[Is DIV]]), CagrTable[[#This Row],[Sell Date]], CagrTable[[#This Row],[Acquire Date]]), "")</f>
        <v/>
      </c>
      <c r="AW25" s="166" t="str">
        <f>IF(AND(CagrTable[[#This Row],[Is Option]], CagrTable[[#This Row],[Is Open]]), IF(CagrTable[[#This Row],[Is Long Call]], CagrTable[[#This Row],[Exp Date]], MIN(MockToday, CagrTable[[#This Row],[Exp Date]])), "")</f>
        <v/>
      </c>
      <c r="AX25" s="166">
        <f>IF(AND(CagrTable[[#This Row],[Is Option]], NOT(CagrTable[[#This Row],[Is Open]])), IF(CagrTable[[#This Row],[Is Long]], CagrTable[[#This Row],[Sell Date]], CagrTable[[#This Row],[Acquire Date]]), "")</f>
        <v>46212.492858796293</v>
      </c>
      <c r="AY25" s="166" cm="1">
        <f t="array" ref="AY25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46212.492858796293</v>
      </c>
      <c r="AZ25" s="80" t="b">
        <f>IF(AND(CagrTable[[#This Row],[Visible]], CagrTable[[#This Row],[Is Open]]), OR(CagrTable[[#This Row],[Is Long]], AND(CagrTable[[#This Row],[Is Short]], CagrTable[[#This Row],[Is Naked Call]])), FALSE)</f>
        <v>0</v>
      </c>
      <c r="BA25" s="80" t="b">
        <f>AND(CagrTable[[#This Row],[Visible]], OR(NOT(CagrTable[[#This Row],[Is PLUG]]), CagrTable[[#This Row],[Plug Type]] = "MTM"))</f>
        <v>0</v>
      </c>
      <c r="BB25" s="80" t="b">
        <f>AND(CagrTable[[#This Row],[Visible]],NOT(CagrTable[[#This Row],[Is Open]]),NOT(CagrTable[[#This Row],[Plug Type]] = "MC"),CagrTable[[#This Row],[Position]]&lt;&gt;"DIV")</f>
        <v>0</v>
      </c>
      <c r="BC25" s="193">
        <f>IF(AND(CagrTable[[#This Row],[Visible]], CagrTable[[#This Row],[Plug Type]] = "MC"), CagrTable[[#This Row],[Basis]], 0)</f>
        <v>0</v>
      </c>
      <c r="BD25" s="182">
        <f>IF(CagrTable[[#This Row],[Is PLUG]], 0, CagrTable[[#This Row],[Proceeds]] - CagrTable[[#This Row],[Basis]])</f>
        <v>993.20999999999992</v>
      </c>
      <c r="BE25" s="180">
        <f>IF(AND(OR(CagrTable[[#This Row],[Is Short Call]],CagrTable[[#This Row],[Is Short Put]])), CagrTable[[#This Row],[Proceeds]], 0)</f>
        <v>1093.3399999999999</v>
      </c>
      <c r="BF25" s="180">
        <f>IF(AND(OR(CagrTable[[#This Row],[Is Short Call]],CagrTable[[#This Row],[Is Short Put]])), CagrTable[[#This Row],[Basis]], 0)</f>
        <v>100.13</v>
      </c>
      <c r="BG25" s="173">
        <f>IF(CagrTable[[#This Row],[Covered Short Share Equivalent]] &gt; 0,-1 * CagrTable[[#This Row],[Premium Input]] / CagrTable[[#This Row],[Covered Short Share Equivalent]], 0)</f>
        <v>-1.09334</v>
      </c>
      <c r="BH25" s="173">
        <f>IF(CagrTable[[#This Row],[Covered Short Share Equivalent]] &gt; 0, CagrTable[[#This Row],[Premium Offset Input]] / CagrTable[[#This Row],[Covered Short Share Equivalent]], 0)</f>
        <v>0.10013</v>
      </c>
      <c r="BI25" s="173">
        <f>SUM(CagrTable[[#This Row],[Premium ACB]:[Premium Offset ACB]])</f>
        <v>-0.99320999999999993</v>
      </c>
      <c r="BJ25" s="173">
        <f>IF(CagrTable[[#This Row],[Is Naked Short]],-1 * CagrTable[[#This Row],[Strike Price]] - (CagrTable[[#This Row],[Proceeds]] / CagrTable[[#This Row],[Naked Short Share Equivalent]]), 0)</f>
        <v>0</v>
      </c>
      <c r="BK25" s="173">
        <f>IF(CagrTable[[#This Row],[Is Short Put]], CagrTable[[#This Row],[Strike Price]] + CagrTable[[#This Row],[Net Short Premium ACB]], 0)</f>
        <v>54.006790000000002</v>
      </c>
      <c r="BL25" s="173">
        <f>IF(AND(CagrTable[[#This Row],[Is Long Call]], NOT(CagrTable[[#This Row],[Is PLUG]])), -1 * CagrTable[[#This Row],[P&amp;L]]/(CagrTable[[#This Row],[Qty]] * 100), 0)</f>
        <v>0</v>
      </c>
      <c r="BM25" s="173">
        <f>IF(AND(NOT(CagrTable[[#This Row],[Is Option]]), NOT(CagrTable[[#This Row],[Is PLUG]]), OR(CagrTable[[#This Row],[Is Open]], CagrTable[[#This Row],[Is DIV]]), N(CagrTable[[#This Row],[Qty]])&lt;&gt;0), -CagrTable[[#This Row],[P&amp;L]]/CagrTable[[#This Row],[Qty]], 0)</f>
        <v>0</v>
      </c>
      <c r="BN25" s="173" t="b">
        <f>AND(_Total_ACB_Shares&lt;&gt;0, NOT(CagrTable[[#This Row],[Is PLUG]]))</f>
        <v>0</v>
      </c>
      <c r="BO25" s="173">
        <f>IF(OR(_Total_ACB_Shares=0, CagrTable[[#This Row],[Is PLUG]]), 0, (CagrTable[[#This Row],[ACB]] * CagrTable[[#This Row],[Qty]] * IF(CagrTable[[#This Row],[Is Option]], 100, 1))/ _Total_ACB_Shares)</f>
        <v>0</v>
      </c>
      <c r="BP25" s="184">
        <f t="shared" si="1"/>
        <v>1</v>
      </c>
      <c r="BQ25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-0.99320999999999993</v>
      </c>
      <c r="BR25" s="174">
        <f>CagrTable[[#This Row],[Prelim Weighted ACB]] * CagrTable[[#This Row],[ACB Sign]]</f>
        <v>0</v>
      </c>
      <c r="BS25" s="62">
        <f>CagrTable[[#This Row],[Proceeds]] - CagrTable[[#This Row],[Basis]]</f>
        <v>993.20999999999992</v>
      </c>
      <c r="BT25" s="91" t="s">
        <v>79</v>
      </c>
      <c r="BU25" s="63" t="s">
        <v>62</v>
      </c>
      <c r="BV25" s="63" t="s">
        <v>71</v>
      </c>
      <c r="BW25" s="63" t="s">
        <v>72</v>
      </c>
      <c r="BX25" s="27"/>
      <c r="BY25" s="58">
        <v>59.6</v>
      </c>
      <c r="BZ25" s="58">
        <v>1.1000000000000001</v>
      </c>
      <c r="CA25" s="100">
        <v>46210.422500000001</v>
      </c>
      <c r="CB25" s="58">
        <v>1.55</v>
      </c>
      <c r="CC25" s="58">
        <v>0.69</v>
      </c>
      <c r="CD25" s="65">
        <v>47</v>
      </c>
      <c r="CE25" s="82"/>
      <c r="CF25" s="66" t="s">
        <v>73</v>
      </c>
      <c r="CG25" s="58"/>
      <c r="CH25" s="66" t="s">
        <v>399</v>
      </c>
      <c r="CI25" s="66" t="s">
        <v>394</v>
      </c>
      <c r="CJ25" s="66"/>
      <c r="CK25" s="58">
        <v>65.400000000000006</v>
      </c>
      <c r="CL25" s="58">
        <v>0.1</v>
      </c>
      <c r="CM25" s="64">
        <v>46212.492858796293</v>
      </c>
      <c r="CN25" s="58">
        <v>0</v>
      </c>
      <c r="CO25" s="58">
        <v>0</v>
      </c>
      <c r="CP25" s="67">
        <v>-1</v>
      </c>
      <c r="CQ25" s="82"/>
      <c r="CR25" s="58" t="s">
        <v>64</v>
      </c>
      <c r="CS25" s="58">
        <v>0.1</v>
      </c>
      <c r="CT25" s="66" t="s">
        <v>401</v>
      </c>
      <c r="CU25" s="68"/>
      <c r="CV25" s="181" t="s">
        <v>400</v>
      </c>
      <c r="DC25" s="19"/>
      <c r="DL25" s="13"/>
    </row>
    <row r="26" spans="1:116" ht="12.75" hidden="1" customHeight="1">
      <c r="A26" s="69" t="s">
        <v>368</v>
      </c>
      <c r="B26" s="189" t="s">
        <v>67</v>
      </c>
      <c r="C26" s="88">
        <v>10</v>
      </c>
      <c r="D26" s="70">
        <v>1</v>
      </c>
      <c r="E26" s="1" t="str">
        <f>CONCATENATE(CagrTable[[#This Row],[Symbol]], CagrTable[[#This Row],[ID]])</f>
        <v>DRAM1</v>
      </c>
      <c r="F26" s="55" t="s">
        <v>61</v>
      </c>
      <c r="G26" s="56">
        <v>46213.729166666664</v>
      </c>
      <c r="H26" s="58">
        <v>0</v>
      </c>
      <c r="I26" s="57">
        <f>IF(ISNUMBER(CagrTable[[#This Row],[Qty]]),CagrTable[[#This Row],[Basis]] /CagrTable[[#This Row],[Qty]], "")</f>
        <v>0</v>
      </c>
      <c r="J26" s="56">
        <v>46209.400960648149</v>
      </c>
      <c r="K26" s="58">
        <v>1393.24</v>
      </c>
      <c r="L26" s="78">
        <f>IF(ISNUMBER(CagrTable[[#This Row],[Qty]]),CagrTable[[#This Row],[Proceeds]] / CagrTable[[#This Row],[Qty]], "")</f>
        <v>139.32400000000001</v>
      </c>
      <c r="M26" s="77">
        <f>IF(CagrTable[[#This Row],[Is Open]], CagrTable[[#This Row],[Date Opened]], CagrTable[[#This Row],[Date Closed]])</f>
        <v>46213.729166666664</v>
      </c>
      <c r="N26" s="101"/>
      <c r="O26"/>
      <c r="P26" s="177"/>
      <c r="Q26" s="176"/>
      <c r="R26" s="71">
        <f>IF(CagrTable[[#This Row],[Sell Date]]=CagrTable[[#This Row],[Acquire Date]], 1, ABS(CagrTable[[#This Row],[Sell Date]] - CagrTable[[#This Row],[Acquire Date]]))</f>
        <v>4.3282060185156297</v>
      </c>
      <c r="S26" s="72">
        <f>CagrTable[[#This Row],[Days Held]] / 30</f>
        <v>0.14427353395052098</v>
      </c>
      <c r="T26" s="178">
        <v>6.76</v>
      </c>
      <c r="U26" s="179"/>
      <c r="V26" s="158">
        <v>46213.729166666664</v>
      </c>
      <c r="W26" s="60">
        <v>70</v>
      </c>
      <c r="X26" s="75" t="s">
        <v>68</v>
      </c>
      <c r="Y26" s="61" t="s">
        <v>391</v>
      </c>
      <c r="Z26" s="85" t="str">
        <f>IF(OR(CagrTable[[#This Row],[Is Closed]]="", CagrTable[[#This Row],[Is Closed]]="H"),"Y","")</f>
        <v/>
      </c>
      <c r="AA26" s="85" t="str">
        <f>IF(OR(CagrTable[[#This Row],[Position]]="LNG",CagrTable[[#This Row],[Position]]="SHRT"),"Equity","Option")</f>
        <v>Option</v>
      </c>
      <c r="AB26" s="84" t="str">
        <f>IF(CagrTable[[#This Row],[Pricing Update Included]]="Y",IF(CagrTable[[#This Row],[Pricing Update Asset]]="Equity",CagrTable[[#This Row],[Symbol]],CagrTable[[#This Row],[Option Symbol]]),"")</f>
        <v/>
      </c>
      <c r="AC26" s="80">
        <f>SUBTOTAL(103,CagrTable[[#This Row],[Symbol]])</f>
        <v>0</v>
      </c>
      <c r="AD26" s="80" t="b">
        <f>LEFT(CagrTable[[#This Row],[Position]],1)="L"</f>
        <v>0</v>
      </c>
      <c r="AE26" s="80" t="b">
        <f>LEFT(CagrTable[[#This Row],[Position]],1)="S"</f>
        <v>1</v>
      </c>
      <c r="AF26" s="80" t="b">
        <f>(CagrTable[[#This Row],[Position]] = "DIV")</f>
        <v>0</v>
      </c>
      <c r="AG26" s="80" t="b">
        <f>CagrTable[[#This Row],[Position]] = "PLUG"</f>
        <v>0</v>
      </c>
      <c r="AH26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0</v>
      </c>
      <c r="AI26" s="80" t="b">
        <f>CagrTable[[#This Row],[Is Closed]] &lt;&gt; "Y"</f>
        <v>0</v>
      </c>
      <c r="AJ26" s="84" t="b">
        <f>OR(CagrTable[[#This Row],[Option Type]]&lt;&gt;"",
  CagrTable[[#This Row],[Position]]="LC", CagrTable[[#This Row],[Position]]="SC",
  CagrTable[[#This Row],[Position]]="LP",CagrTable[[#This Row],[Position]]="SP"
)</f>
        <v>1</v>
      </c>
      <c r="AK26" s="84" t="b">
        <f>AND(CagrTable[[#This Row],[Option Type]] = "C", CagrTable[[#This Row],[Is Short]])</f>
        <v>1</v>
      </c>
      <c r="AL26" s="84" t="b">
        <f>AND(CagrTable[[#This Row],[Is Short Call]],CagrTable[[#This Row],[Is Naked Call]] = TRUE)</f>
        <v>0</v>
      </c>
      <c r="AM26" s="84" t="b">
        <f>AND(CagrTable[[#This Row],[Option Type]] = "P", CagrTable[[#This Row],[Is Short]])</f>
        <v>0</v>
      </c>
      <c r="AN26" s="84" t="b">
        <f>CagrTable[[#This Row],[Position]]= "LC"</f>
        <v>0</v>
      </c>
      <c r="AO26" s="169">
        <f>IF(AND(CagrTable[[#This Row],[Is Long]], NOT(CagrTable[[#This Row],[Position]]="LP")), CagrTable[[#This Row],[Qty]] * IF(CagrTable[[#This Row],[Is Option]], 100, 1), 0)</f>
        <v>0</v>
      </c>
      <c r="AP26" s="169">
        <f>IF(CagrTable[[#This Row],[Is Naked Short]], CagrTable[[#This Row],[Qty]] * -100, 0)</f>
        <v>0</v>
      </c>
      <c r="AQ26" s="169">
        <f>IF(CagrTable[[#This Row],[Is ACB Put]], CagrTable[[#This Row],[Qty]] * -100, 0)</f>
        <v>0</v>
      </c>
      <c r="AR26" s="169">
        <f>IF(AND(CagrTable[[#This Row],[Is Short]], NOT(CagrTable[[#This Row],[Is Naked Short]])), CagrTable[[#This Row],[Qty]] * IF(CagrTable[[#This Row],[Is Option]], 100, 1), 0)</f>
        <v>1000</v>
      </c>
      <c r="AS26" s="169">
        <f>SUM(CagrTable[[#This Row],[Long Share Equivalent]:[Covered Short Share Equivalent]])</f>
        <v>1000</v>
      </c>
      <c r="AT26" s="169">
        <f>IF(CagrTable[[#This Row],[Is Open]], SUM(CagrTable[[#This Row],[Long Share Equivalent]:[ACB Put Share Equivalent]]), 0)</f>
        <v>0</v>
      </c>
      <c r="AU26" s="166">
        <f>IF(OR(CagrTable[[#This Row],[Is Long]], CagrTable[[#This Row],[Is DIV]]), CagrTable[[#This Row],[Acquire Date]], CagrTable[[#This Row],[Sell Date]])</f>
        <v>46209.400960648149</v>
      </c>
      <c r="AV26" s="166" t="str">
        <f>IF(NOT(CagrTable[[#This Row],[Is Option]]), IF(OR(CagrTable[[#This Row],[Is Long]], CagrTable[[#This Row],[Is DIV]]), CagrTable[[#This Row],[Sell Date]], CagrTable[[#This Row],[Acquire Date]]), "")</f>
        <v/>
      </c>
      <c r="AW26" s="166" t="str">
        <f>IF(AND(CagrTable[[#This Row],[Is Option]], CagrTable[[#This Row],[Is Open]]), IF(CagrTable[[#This Row],[Is Long Call]], CagrTable[[#This Row],[Exp Date]], MIN(MockToday, CagrTable[[#This Row],[Exp Date]])), "")</f>
        <v/>
      </c>
      <c r="AX26" s="166">
        <f>IF(AND(CagrTable[[#This Row],[Is Option]], NOT(CagrTable[[#This Row],[Is Open]])), IF(CagrTable[[#This Row],[Is Long]], CagrTable[[#This Row],[Sell Date]], CagrTable[[#This Row],[Acquire Date]]), "")</f>
        <v>46213.729166666664</v>
      </c>
      <c r="AY26" s="166" cm="1">
        <f t="array" ref="AY26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46213.729166666664</v>
      </c>
      <c r="AZ26" s="80" t="b">
        <f>IF(AND(CagrTable[[#This Row],[Visible]], CagrTable[[#This Row],[Is Open]]), OR(CagrTable[[#This Row],[Is Long]], AND(CagrTable[[#This Row],[Is Short]], CagrTable[[#This Row],[Is Naked Call]])), FALSE)</f>
        <v>0</v>
      </c>
      <c r="BA26" s="80" t="b">
        <f>AND(CagrTable[[#This Row],[Visible]], OR(NOT(CagrTable[[#This Row],[Is PLUG]]), CagrTable[[#This Row],[Plug Type]] = "MTM"))</f>
        <v>0</v>
      </c>
      <c r="BB26" s="80" t="b">
        <f>AND(CagrTable[[#This Row],[Visible]],NOT(CagrTable[[#This Row],[Is Open]]),NOT(CagrTable[[#This Row],[Plug Type]] = "MC"),CagrTable[[#This Row],[Position]]&lt;&gt;"DIV")</f>
        <v>0</v>
      </c>
      <c r="BC26" s="193">
        <f>IF(AND(CagrTable[[#This Row],[Visible]], CagrTable[[#This Row],[Plug Type]] = "MC"), CagrTable[[#This Row],[Basis]], 0)</f>
        <v>0</v>
      </c>
      <c r="BD26" s="182">
        <f>IF(CagrTable[[#This Row],[Is PLUG]], 0, CagrTable[[#This Row],[Proceeds]] - CagrTable[[#This Row],[Basis]])</f>
        <v>1393.24</v>
      </c>
      <c r="BE26" s="180">
        <f>IF(AND(OR(CagrTable[[#This Row],[Is Short Call]],CagrTable[[#This Row],[Is Short Put]])), CagrTable[[#This Row],[Proceeds]], 0)</f>
        <v>1393.24</v>
      </c>
      <c r="BF26" s="180">
        <f>IF(AND(OR(CagrTable[[#This Row],[Is Short Call]],CagrTable[[#This Row],[Is Short Put]])), CagrTable[[#This Row],[Basis]], 0)</f>
        <v>0</v>
      </c>
      <c r="BG26" s="173">
        <f>IF(CagrTable[[#This Row],[Covered Short Share Equivalent]] &gt; 0,-1 * CagrTable[[#This Row],[Premium Input]] / CagrTable[[#This Row],[Covered Short Share Equivalent]], 0)</f>
        <v>-1.39324</v>
      </c>
      <c r="BH26" s="173">
        <f>IF(CagrTable[[#This Row],[Covered Short Share Equivalent]] &gt; 0, CagrTable[[#This Row],[Premium Offset Input]] / CagrTable[[#This Row],[Covered Short Share Equivalent]], 0)</f>
        <v>0</v>
      </c>
      <c r="BI26" s="173">
        <f>SUM(CagrTable[[#This Row],[Premium ACB]:[Premium Offset ACB]])</f>
        <v>-1.39324</v>
      </c>
      <c r="BJ26" s="173">
        <f>IF(CagrTable[[#This Row],[Is Naked Short]],-1 * CagrTable[[#This Row],[Strike Price]] - (CagrTable[[#This Row],[Proceeds]] / CagrTable[[#This Row],[Naked Short Share Equivalent]]), 0)</f>
        <v>0</v>
      </c>
      <c r="BK26" s="173">
        <f>IF(CagrTable[[#This Row],[Is Short Put]], CagrTable[[#This Row],[Strike Price]] + CagrTable[[#This Row],[Net Short Premium ACB]], 0)</f>
        <v>0</v>
      </c>
      <c r="BL26" s="173">
        <f>IF(AND(CagrTable[[#This Row],[Is Long Call]], NOT(CagrTable[[#This Row],[Is PLUG]])), -1 * CagrTable[[#This Row],[P&amp;L]]/(CagrTable[[#This Row],[Qty]] * 100), 0)</f>
        <v>0</v>
      </c>
      <c r="BM26" s="173">
        <f>IF(AND(NOT(CagrTable[[#This Row],[Is Option]]), NOT(CagrTable[[#This Row],[Is PLUG]]), OR(CagrTable[[#This Row],[Is Open]], CagrTable[[#This Row],[Is DIV]]), N(CagrTable[[#This Row],[Qty]])&lt;&gt;0), -CagrTable[[#This Row],[P&amp;L]]/CagrTable[[#This Row],[Qty]], 0)</f>
        <v>0</v>
      </c>
      <c r="BN26" s="173" t="b">
        <f>AND(_Total_ACB_Shares&lt;&gt;0, NOT(CagrTable[[#This Row],[Is PLUG]]))</f>
        <v>0</v>
      </c>
      <c r="BO26" s="173">
        <f>IF(OR(_Total_ACB_Shares=0, CagrTable[[#This Row],[Is PLUG]]), 0, (CagrTable[[#This Row],[ACB]] * CagrTable[[#This Row],[Qty]] * IF(CagrTable[[#This Row],[Is Option]], 100, 1))/ _Total_ACB_Shares)</f>
        <v>0</v>
      </c>
      <c r="BP26" s="184">
        <f t="shared" si="1"/>
        <v>1</v>
      </c>
      <c r="BQ26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-1.39324</v>
      </c>
      <c r="BR26" s="174">
        <f>CagrTable[[#This Row],[Prelim Weighted ACB]] * CagrTable[[#This Row],[ACB Sign]]</f>
        <v>0</v>
      </c>
      <c r="BS26" s="62">
        <f>CagrTable[[#This Row],[Proceeds]] - CagrTable[[#This Row],[Basis]]</f>
        <v>1393.24</v>
      </c>
      <c r="BT26" s="91" t="s">
        <v>70</v>
      </c>
      <c r="BU26" s="63" t="s">
        <v>62</v>
      </c>
      <c r="BV26" s="63" t="s">
        <v>71</v>
      </c>
      <c r="BW26" s="63" t="s">
        <v>87</v>
      </c>
      <c r="BX26" s="27"/>
      <c r="BY26" s="58">
        <v>64.849999999999994</v>
      </c>
      <c r="BZ26" s="58">
        <v>1.4</v>
      </c>
      <c r="CA26" s="100">
        <v>46209.400960648149</v>
      </c>
      <c r="CB26" s="58">
        <v>1.8</v>
      </c>
      <c r="CC26" s="58">
        <v>1.0900000000000001</v>
      </c>
      <c r="CD26" s="65">
        <v>43</v>
      </c>
      <c r="CE26" s="83"/>
      <c r="CF26" s="66" t="s">
        <v>73</v>
      </c>
      <c r="CG26" s="58"/>
      <c r="CH26" s="66" t="s">
        <v>392</v>
      </c>
      <c r="CI26" s="66" t="s">
        <v>65</v>
      </c>
      <c r="CJ26" s="66"/>
      <c r="CK26" s="58">
        <v>63.04</v>
      </c>
      <c r="CL26" s="58">
        <v>0</v>
      </c>
      <c r="CM26" s="64">
        <v>46213.708333333336</v>
      </c>
      <c r="CN26" s="58">
        <v>0</v>
      </c>
      <c r="CO26" s="58">
        <v>0</v>
      </c>
      <c r="CP26" s="67">
        <v>0</v>
      </c>
      <c r="CQ26" s="82"/>
      <c r="CR26" s="58"/>
      <c r="CS26" s="58"/>
      <c r="CT26" s="66" t="s">
        <v>76</v>
      </c>
      <c r="CU26" s="73"/>
      <c r="CV26" s="181" t="s">
        <v>393</v>
      </c>
      <c r="DC26" s="19"/>
      <c r="DL26" s="13"/>
    </row>
    <row r="27" spans="1:116" ht="12.75" hidden="1" customHeight="1">
      <c r="A27" s="69" t="s">
        <v>368</v>
      </c>
      <c r="B27" s="189" t="s">
        <v>67</v>
      </c>
      <c r="C27" s="88">
        <v>10</v>
      </c>
      <c r="D27" s="70">
        <v>1</v>
      </c>
      <c r="E27" s="1" t="str">
        <f>CONCATENATE(CagrTable[[#This Row],[Symbol]], CagrTable[[#This Row],[ID]])</f>
        <v>DRAM1</v>
      </c>
      <c r="F27" s="55" t="s">
        <v>61</v>
      </c>
      <c r="G27" s="56">
        <v>46227.729166666664</v>
      </c>
      <c r="H27" s="58">
        <v>0</v>
      </c>
      <c r="I27" s="57">
        <f>IF(ISNUMBER(CagrTable[[#This Row],[Qty]]),CagrTable[[#This Row],[Basis]] /CagrTable[[#This Row],[Qty]], "")</f>
        <v>0</v>
      </c>
      <c r="J27" s="56">
        <v>46224.407395833332</v>
      </c>
      <c r="K27" s="58">
        <v>353.37</v>
      </c>
      <c r="L27" s="78">
        <f>IF(ISNUMBER(CagrTable[[#This Row],[Qty]]),CagrTable[[#This Row],[Proceeds]] / CagrTable[[#This Row],[Qty]], "")</f>
        <v>35.337000000000003</v>
      </c>
      <c r="M27" s="77">
        <f>IF(CagrTable[[#This Row],[Is Open]], CagrTable[[#This Row],[Date Opened]], CagrTable[[#This Row],[Date Closed]])</f>
        <v>46227.729166666664</v>
      </c>
      <c r="N27" s="101"/>
      <c r="O27"/>
      <c r="P27" s="177"/>
      <c r="Q27" s="176"/>
      <c r="R27" s="71">
        <f>IF(CagrTable[[#This Row],[Sell Date]]=CagrTable[[#This Row],[Acquire Date]], 1, ABS(CagrTable[[#This Row],[Sell Date]] - CagrTable[[#This Row],[Acquire Date]]))</f>
        <v>3.3217708333322662</v>
      </c>
      <c r="S27" s="59">
        <f>CagrTable[[#This Row],[Days Held]] / 30</f>
        <v>0.11072569444440887</v>
      </c>
      <c r="T27" s="178">
        <v>6.63</v>
      </c>
      <c r="U27" s="179"/>
      <c r="V27" s="158">
        <v>46227.729166666664</v>
      </c>
      <c r="W27" s="60">
        <v>66</v>
      </c>
      <c r="X27" s="75" t="s">
        <v>68</v>
      </c>
      <c r="Y27" s="61" t="s">
        <v>424</v>
      </c>
      <c r="Z27" s="85" t="str">
        <f>IF(OR(CagrTable[[#This Row],[Is Closed]]="", CagrTable[[#This Row],[Is Closed]]="H"),"Y","")</f>
        <v/>
      </c>
      <c r="AA27" s="85" t="str">
        <f>IF(OR(CagrTable[[#This Row],[Position]]="LNG",CagrTable[[#This Row],[Position]]="SHRT"),"Equity","Option")</f>
        <v>Option</v>
      </c>
      <c r="AB27" s="84" t="str">
        <f>IF(CagrTable[[#This Row],[Pricing Update Included]]="Y",IF(CagrTable[[#This Row],[Pricing Update Asset]]="Equity",CagrTable[[#This Row],[Symbol]],CagrTable[[#This Row],[Option Symbol]]),"")</f>
        <v/>
      </c>
      <c r="AC27" s="80">
        <f>SUBTOTAL(103,CagrTable[[#This Row],[Symbol]])</f>
        <v>0</v>
      </c>
      <c r="AD27" s="80" t="b">
        <f>LEFT(CagrTable[[#This Row],[Position]],1)="L"</f>
        <v>0</v>
      </c>
      <c r="AE27" s="80" t="b">
        <f>LEFT(CagrTable[[#This Row],[Position]],1)="S"</f>
        <v>1</v>
      </c>
      <c r="AF27" s="80" t="b">
        <f>(CagrTable[[#This Row],[Position]] = "DIV")</f>
        <v>0</v>
      </c>
      <c r="AG27" s="80" t="b">
        <f>CagrTable[[#This Row],[Position]] = "PLUG"</f>
        <v>0</v>
      </c>
      <c r="AH27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0</v>
      </c>
      <c r="AI27" s="80" t="b">
        <f>CagrTable[[#This Row],[Is Closed]] &lt;&gt; "Y"</f>
        <v>0</v>
      </c>
      <c r="AJ27" s="84" t="b">
        <f>OR(CagrTable[[#This Row],[Option Type]]&lt;&gt;"",
  CagrTable[[#This Row],[Position]]="LC", CagrTable[[#This Row],[Position]]="SC",
  CagrTable[[#This Row],[Position]]="LP",CagrTable[[#This Row],[Position]]="SP"
)</f>
        <v>1</v>
      </c>
      <c r="AK27" s="84" t="b">
        <f>AND(CagrTable[[#This Row],[Option Type]] = "C", CagrTable[[#This Row],[Is Short]])</f>
        <v>1</v>
      </c>
      <c r="AL27" s="84" t="b">
        <f>AND(CagrTable[[#This Row],[Is Short Call]],CagrTable[[#This Row],[Is Naked Call]] = TRUE)</f>
        <v>0</v>
      </c>
      <c r="AM27" s="84" t="b">
        <f>AND(CagrTable[[#This Row],[Option Type]] = "P", CagrTable[[#This Row],[Is Short]])</f>
        <v>0</v>
      </c>
      <c r="AN27" s="84" t="b">
        <f>CagrTable[[#This Row],[Position]]= "LC"</f>
        <v>0</v>
      </c>
      <c r="AO27" s="169">
        <f>IF(AND(CagrTable[[#This Row],[Is Long]], NOT(CagrTable[[#This Row],[Position]]="LP")), CagrTable[[#This Row],[Qty]] * IF(CagrTable[[#This Row],[Is Option]], 100, 1), 0)</f>
        <v>0</v>
      </c>
      <c r="AP27" s="169">
        <f>IF(CagrTable[[#This Row],[Is Naked Short]], CagrTable[[#This Row],[Qty]] * -100, 0)</f>
        <v>0</v>
      </c>
      <c r="AQ27" s="169">
        <f>IF(CagrTable[[#This Row],[Is ACB Put]], CagrTable[[#This Row],[Qty]] * -100, 0)</f>
        <v>0</v>
      </c>
      <c r="AR27" s="169">
        <f>IF(AND(CagrTable[[#This Row],[Is Short]], NOT(CagrTable[[#This Row],[Is Naked Short]])), CagrTable[[#This Row],[Qty]] * IF(CagrTable[[#This Row],[Is Option]], 100, 1), 0)</f>
        <v>1000</v>
      </c>
      <c r="AS27" s="169">
        <f>SUM(CagrTable[[#This Row],[Long Share Equivalent]:[Covered Short Share Equivalent]])</f>
        <v>1000</v>
      </c>
      <c r="AT27" s="169">
        <f>IF(CagrTable[[#This Row],[Is Open]], SUM(CagrTable[[#This Row],[Long Share Equivalent]:[ACB Put Share Equivalent]]), 0)</f>
        <v>0</v>
      </c>
      <c r="AU27" s="166">
        <f>IF(OR(CagrTable[[#This Row],[Is Long]], CagrTable[[#This Row],[Is DIV]]), CagrTable[[#This Row],[Acquire Date]], CagrTable[[#This Row],[Sell Date]])</f>
        <v>46224.407395833332</v>
      </c>
      <c r="AV27" s="166" t="str">
        <f>IF(NOT(CagrTable[[#This Row],[Is Option]]), IF(OR(CagrTable[[#This Row],[Is Long]], CagrTable[[#This Row],[Is DIV]]), CagrTable[[#This Row],[Sell Date]], CagrTable[[#This Row],[Acquire Date]]), "")</f>
        <v/>
      </c>
      <c r="AW27" s="166" t="str">
        <f>IF(AND(CagrTable[[#This Row],[Is Option]], CagrTable[[#This Row],[Is Open]]), IF(CagrTable[[#This Row],[Is Long Call]], CagrTable[[#This Row],[Exp Date]], MIN(MockToday, CagrTable[[#This Row],[Exp Date]])), "")</f>
        <v/>
      </c>
      <c r="AX27" s="166">
        <f>IF(AND(CagrTable[[#This Row],[Is Option]], NOT(CagrTable[[#This Row],[Is Open]])), IF(CagrTable[[#This Row],[Is Long]], CagrTable[[#This Row],[Sell Date]], CagrTable[[#This Row],[Acquire Date]]), "")</f>
        <v>46227.729166666664</v>
      </c>
      <c r="AY27" s="166" cm="1">
        <f t="array" ref="AY27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46227.729166666664</v>
      </c>
      <c r="AZ27" s="80" t="b">
        <f>IF(AND(CagrTable[[#This Row],[Visible]], CagrTable[[#This Row],[Is Open]]), OR(CagrTable[[#This Row],[Is Long]], AND(CagrTable[[#This Row],[Is Short]], CagrTable[[#This Row],[Is Naked Call]])), FALSE)</f>
        <v>0</v>
      </c>
      <c r="BA27" s="80" t="b">
        <f>AND(CagrTable[[#This Row],[Visible]], OR(NOT(CagrTable[[#This Row],[Is PLUG]]), CagrTable[[#This Row],[Plug Type]] = "MTM"))</f>
        <v>0</v>
      </c>
      <c r="BB27" s="80" t="b">
        <f>AND(CagrTable[[#This Row],[Visible]],NOT(CagrTable[[#This Row],[Is Open]]),NOT(CagrTable[[#This Row],[Plug Type]] = "MC"),CagrTable[[#This Row],[Position]]&lt;&gt;"DIV")</f>
        <v>0</v>
      </c>
      <c r="BC27" s="193">
        <f>IF(AND(CagrTable[[#This Row],[Visible]], CagrTable[[#This Row],[Plug Type]] = "MC"), CagrTable[[#This Row],[Basis]], 0)</f>
        <v>0</v>
      </c>
      <c r="BD27" s="182">
        <f>IF(CagrTable[[#This Row],[Is PLUG]], 0, CagrTable[[#This Row],[Proceeds]] - CagrTable[[#This Row],[Basis]])</f>
        <v>353.37</v>
      </c>
      <c r="BE27" s="180">
        <f>IF(AND(OR(CagrTable[[#This Row],[Is Short Call]],CagrTable[[#This Row],[Is Short Put]])), CagrTable[[#This Row],[Proceeds]], 0)</f>
        <v>353.37</v>
      </c>
      <c r="BF27" s="180">
        <f>IF(AND(OR(CagrTable[[#This Row],[Is Short Call]],CagrTable[[#This Row],[Is Short Put]])), CagrTable[[#This Row],[Basis]], 0)</f>
        <v>0</v>
      </c>
      <c r="BG27" s="173">
        <f>IF(CagrTable[[#This Row],[Covered Short Share Equivalent]] &gt; 0,-1 * CagrTable[[#This Row],[Premium Input]] / CagrTable[[#This Row],[Covered Short Share Equivalent]], 0)</f>
        <v>-0.35337000000000002</v>
      </c>
      <c r="BH27" s="173">
        <f>IF(CagrTable[[#This Row],[Covered Short Share Equivalent]] &gt; 0, CagrTable[[#This Row],[Premium Offset Input]] / CagrTable[[#This Row],[Covered Short Share Equivalent]], 0)</f>
        <v>0</v>
      </c>
      <c r="BI27" s="173">
        <f>SUM(CagrTable[[#This Row],[Premium ACB]:[Premium Offset ACB]])</f>
        <v>-0.35337000000000002</v>
      </c>
      <c r="BJ27" s="173">
        <f>IF(CagrTable[[#This Row],[Is Naked Short]],-1 * CagrTable[[#This Row],[Strike Price]] - (CagrTable[[#This Row],[Proceeds]] / CagrTable[[#This Row],[Naked Short Share Equivalent]]), 0)</f>
        <v>0</v>
      </c>
      <c r="BK27" s="173">
        <f>IF(CagrTable[[#This Row],[Is Short Put]], CagrTable[[#This Row],[Strike Price]] + CagrTable[[#This Row],[Net Short Premium ACB]], 0)</f>
        <v>0</v>
      </c>
      <c r="BL27" s="173">
        <f>IF(AND(CagrTable[[#This Row],[Is Long Call]], NOT(CagrTable[[#This Row],[Is PLUG]])), -1 * CagrTable[[#This Row],[P&amp;L]]/(CagrTable[[#This Row],[Qty]] * 100), 0)</f>
        <v>0</v>
      </c>
      <c r="BM27" s="173">
        <f>IF(AND(NOT(CagrTable[[#This Row],[Is Option]]), NOT(CagrTable[[#This Row],[Is PLUG]]), OR(CagrTable[[#This Row],[Is Open]], CagrTable[[#This Row],[Is DIV]]), N(CagrTable[[#This Row],[Qty]])&lt;&gt;0), -CagrTable[[#This Row],[P&amp;L]]/CagrTable[[#This Row],[Qty]], 0)</f>
        <v>0</v>
      </c>
      <c r="BN27" s="173" t="b">
        <f>AND(_Total_ACB_Shares&lt;&gt;0, NOT(CagrTable[[#This Row],[Is PLUG]]))</f>
        <v>0</v>
      </c>
      <c r="BO27" s="173">
        <f>IF(OR(_Total_ACB_Shares=0, CagrTable[[#This Row],[Is PLUG]]), 0, (CagrTable[[#This Row],[ACB]] * CagrTable[[#This Row],[Qty]] * IF(CagrTable[[#This Row],[Is Option]], 100, 1))/ _Total_ACB_Shares)</f>
        <v>0</v>
      </c>
      <c r="BP27" s="184">
        <f t="shared" si="1"/>
        <v>1</v>
      </c>
      <c r="BQ27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-0.35337000000000002</v>
      </c>
      <c r="BR27" s="174">
        <f>CagrTable[[#This Row],[Prelim Weighted ACB]] * CagrTable[[#This Row],[ACB Sign]]</f>
        <v>0</v>
      </c>
      <c r="BS27" s="62">
        <f>CagrTable[[#This Row],[Proceeds]] - CagrTable[[#This Row],[Basis]]</f>
        <v>353.37</v>
      </c>
      <c r="BT27" s="91" t="s">
        <v>70</v>
      </c>
      <c r="BU27" s="63" t="s">
        <v>62</v>
      </c>
      <c r="BV27" s="63" t="s">
        <v>71</v>
      </c>
      <c r="BW27" s="63" t="s">
        <v>87</v>
      </c>
      <c r="BX27" s="27"/>
      <c r="BY27" s="58">
        <v>56.9</v>
      </c>
      <c r="BZ27" s="58">
        <v>0.36</v>
      </c>
      <c r="CA27" s="100">
        <v>46224.407395833332</v>
      </c>
      <c r="CB27" s="58">
        <v>0.54</v>
      </c>
      <c r="CC27" s="58">
        <v>0.28000000000000003</v>
      </c>
      <c r="CD27" s="65">
        <v>30</v>
      </c>
      <c r="CE27" s="82"/>
      <c r="CF27" s="66" t="s">
        <v>73</v>
      </c>
      <c r="CG27" s="58"/>
      <c r="CH27" s="66" t="s">
        <v>425</v>
      </c>
      <c r="CI27" s="66" t="s">
        <v>65</v>
      </c>
      <c r="CJ27" s="66"/>
      <c r="CK27" s="58">
        <v>53</v>
      </c>
      <c r="CL27" s="58">
        <v>0</v>
      </c>
      <c r="CM27" s="64">
        <v>46227.708333333336</v>
      </c>
      <c r="CN27" s="58">
        <v>0</v>
      </c>
      <c r="CO27" s="58">
        <v>0</v>
      </c>
      <c r="CP27" s="67">
        <v>0</v>
      </c>
      <c r="CQ27" s="82"/>
      <c r="CR27" s="58"/>
      <c r="CS27" s="58"/>
      <c r="CT27" s="66" t="s">
        <v>76</v>
      </c>
      <c r="CU27" s="68"/>
      <c r="CV27" s="181" t="s">
        <v>426</v>
      </c>
      <c r="DC27" s="19"/>
      <c r="DL27" s="13"/>
    </row>
    <row r="28" spans="1:116" ht="12.75" hidden="1" customHeight="1">
      <c r="A28" s="69" t="s">
        <v>368</v>
      </c>
      <c r="B28" s="189" t="s">
        <v>78</v>
      </c>
      <c r="C28" s="88">
        <v>10</v>
      </c>
      <c r="D28" s="70">
        <v>1</v>
      </c>
      <c r="E28" s="1" t="str">
        <f>CONCATENATE(CagrTable[[#This Row],[Symbol]], CagrTable[[#This Row],[ID]])</f>
        <v>DRAM1</v>
      </c>
      <c r="F28" s="55" t="s">
        <v>61</v>
      </c>
      <c r="G28" s="56">
        <v>46241.729166666664</v>
      </c>
      <c r="H28" s="58">
        <v>0</v>
      </c>
      <c r="I28" s="57">
        <f>IF(ISNUMBER(CagrTable[[#This Row],[Qty]]),CagrTable[[#This Row],[Basis]] /CagrTable[[#This Row],[Qty]], "")</f>
        <v>0</v>
      </c>
      <c r="J28" s="56">
        <v>46237.432905092595</v>
      </c>
      <c r="K28" s="58">
        <v>913.35</v>
      </c>
      <c r="L28" s="78">
        <f>IF(ISNUMBER(CagrTable[[#This Row],[Qty]]),CagrTable[[#This Row],[Proceeds]] / CagrTable[[#This Row],[Qty]], "")</f>
        <v>91.335000000000008</v>
      </c>
      <c r="M28" s="77">
        <f>IF(CagrTable[[#This Row],[Is Open]], CagrTable[[#This Row],[Date Opened]], CagrTable[[#This Row],[Date Closed]])</f>
        <v>46241.729166666664</v>
      </c>
      <c r="N28" s="101"/>
      <c r="O28"/>
      <c r="P28" s="177"/>
      <c r="Q28" s="176"/>
      <c r="R28" s="71">
        <f>IF(CagrTable[[#This Row],[Sell Date]]=CagrTable[[#This Row],[Acquire Date]], 1, ABS(CagrTable[[#This Row],[Sell Date]] - CagrTable[[#This Row],[Acquire Date]]))</f>
        <v>4.2962615740689216</v>
      </c>
      <c r="S28" s="72">
        <f>CagrTable[[#This Row],[Days Held]] / 30</f>
        <v>0.14320871913563071</v>
      </c>
      <c r="T28" s="178">
        <v>6.65</v>
      </c>
      <c r="U28" s="179"/>
      <c r="V28" s="158">
        <v>46241.729166666664</v>
      </c>
      <c r="W28" s="60">
        <v>45</v>
      </c>
      <c r="X28" s="75" t="s">
        <v>83</v>
      </c>
      <c r="Y28" s="61" t="s">
        <v>429</v>
      </c>
      <c r="Z28" s="85" t="str">
        <f>IF(OR(CagrTable[[#This Row],[Is Closed]]="", CagrTable[[#This Row],[Is Closed]]="H"),"Y","")</f>
        <v/>
      </c>
      <c r="AA28" s="85" t="str">
        <f>IF(OR(CagrTable[[#This Row],[Position]]="LNG",CagrTable[[#This Row],[Position]]="SHRT"),"Equity","Option")</f>
        <v>Option</v>
      </c>
      <c r="AB28" s="84" t="str">
        <f>IF(CagrTable[[#This Row],[Pricing Update Included]]="Y",IF(CagrTable[[#This Row],[Pricing Update Asset]]="Equity",CagrTable[[#This Row],[Symbol]],CagrTable[[#This Row],[Option Symbol]]),"")</f>
        <v/>
      </c>
      <c r="AC28" s="80">
        <f>SUBTOTAL(103,CagrTable[[#This Row],[Symbol]])</f>
        <v>0</v>
      </c>
      <c r="AD28" s="80" t="b">
        <f>LEFT(CagrTable[[#This Row],[Position]],1)="L"</f>
        <v>0</v>
      </c>
      <c r="AE28" s="80" t="b">
        <f>LEFT(CagrTable[[#This Row],[Position]],1)="S"</f>
        <v>1</v>
      </c>
      <c r="AF28" s="80" t="b">
        <f>(CagrTable[[#This Row],[Position]] = "DIV")</f>
        <v>0</v>
      </c>
      <c r="AG28" s="80" t="b">
        <f>CagrTable[[#This Row],[Position]] = "PLUG"</f>
        <v>0</v>
      </c>
      <c r="AH28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0</v>
      </c>
      <c r="AI28" s="80" t="b">
        <f>CagrTable[[#This Row],[Is Closed]] &lt;&gt; "Y"</f>
        <v>0</v>
      </c>
      <c r="AJ28" s="84" t="b">
        <f>OR(CagrTable[[#This Row],[Option Type]]&lt;&gt;"",
  CagrTable[[#This Row],[Position]]="LC", CagrTable[[#This Row],[Position]]="SC",
  CagrTable[[#This Row],[Position]]="LP",CagrTable[[#This Row],[Position]]="SP"
)</f>
        <v>1</v>
      </c>
      <c r="AK28" s="84" t="b">
        <f>AND(CagrTable[[#This Row],[Option Type]] = "C", CagrTable[[#This Row],[Is Short]])</f>
        <v>0</v>
      </c>
      <c r="AL28" s="84" t="b">
        <f>AND(CagrTable[[#This Row],[Is Short Call]],CagrTable[[#This Row],[Is Naked Call]] = TRUE)</f>
        <v>0</v>
      </c>
      <c r="AM28" s="84" t="b">
        <f>AND(CagrTable[[#This Row],[Option Type]] = "P", CagrTable[[#This Row],[Is Short]])</f>
        <v>1</v>
      </c>
      <c r="AN28" s="84" t="b">
        <f>CagrTable[[#This Row],[Position]]= "LC"</f>
        <v>0</v>
      </c>
      <c r="AO28" s="169">
        <f>IF(AND(CagrTable[[#This Row],[Is Long]], NOT(CagrTable[[#This Row],[Position]]="LP")), CagrTable[[#This Row],[Qty]] * IF(CagrTable[[#This Row],[Is Option]], 100, 1), 0)</f>
        <v>0</v>
      </c>
      <c r="AP28" s="169">
        <f>IF(CagrTable[[#This Row],[Is Naked Short]], CagrTable[[#This Row],[Qty]] * -100, 0)</f>
        <v>0</v>
      </c>
      <c r="AQ28" s="169">
        <f>IF(CagrTable[[#This Row],[Is ACB Put]], CagrTable[[#This Row],[Qty]] * -100, 0)</f>
        <v>0</v>
      </c>
      <c r="AR28" s="169">
        <f>IF(AND(CagrTable[[#This Row],[Is Short]], NOT(CagrTable[[#This Row],[Is Naked Short]])), CagrTable[[#This Row],[Qty]] * IF(CagrTable[[#This Row],[Is Option]], 100, 1), 0)</f>
        <v>1000</v>
      </c>
      <c r="AS28" s="169">
        <f>SUM(CagrTable[[#This Row],[Long Share Equivalent]:[Covered Short Share Equivalent]])</f>
        <v>1000</v>
      </c>
      <c r="AT28" s="169">
        <f>IF(CagrTable[[#This Row],[Is Open]], SUM(CagrTable[[#This Row],[Long Share Equivalent]:[ACB Put Share Equivalent]]), 0)</f>
        <v>0</v>
      </c>
      <c r="AU28" s="166">
        <f>IF(OR(CagrTable[[#This Row],[Is Long]], CagrTable[[#This Row],[Is DIV]]), CagrTable[[#This Row],[Acquire Date]], CagrTable[[#This Row],[Sell Date]])</f>
        <v>46237.432905092595</v>
      </c>
      <c r="AV28" s="166" t="str">
        <f>IF(NOT(CagrTable[[#This Row],[Is Option]]), IF(OR(CagrTable[[#This Row],[Is Long]], CagrTable[[#This Row],[Is DIV]]), CagrTable[[#This Row],[Sell Date]], CagrTable[[#This Row],[Acquire Date]]), "")</f>
        <v/>
      </c>
      <c r="AW28" s="166" t="str">
        <f>IF(AND(CagrTable[[#This Row],[Is Option]], CagrTable[[#This Row],[Is Open]]), IF(CagrTable[[#This Row],[Is Long Call]], CagrTable[[#This Row],[Exp Date]], MIN(MockToday, CagrTable[[#This Row],[Exp Date]])), "")</f>
        <v/>
      </c>
      <c r="AX28" s="166">
        <f>IF(AND(CagrTable[[#This Row],[Is Option]], NOT(CagrTable[[#This Row],[Is Open]])), IF(CagrTable[[#This Row],[Is Long]], CagrTable[[#This Row],[Sell Date]], CagrTable[[#This Row],[Acquire Date]]), "")</f>
        <v>46241.729166666664</v>
      </c>
      <c r="AY28" s="166" cm="1">
        <f t="array" ref="AY28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46241.729166666664</v>
      </c>
      <c r="AZ28" s="80" t="b">
        <f>IF(AND(CagrTable[[#This Row],[Visible]], CagrTable[[#This Row],[Is Open]]), OR(CagrTable[[#This Row],[Is Long]], AND(CagrTable[[#This Row],[Is Short]], CagrTable[[#This Row],[Is Naked Call]])), FALSE)</f>
        <v>0</v>
      </c>
      <c r="BA28" s="80" t="b">
        <f>AND(CagrTable[[#This Row],[Visible]], OR(NOT(CagrTable[[#This Row],[Is PLUG]]), CagrTable[[#This Row],[Plug Type]] = "MTM"))</f>
        <v>0</v>
      </c>
      <c r="BB28" s="80" t="b">
        <f>AND(CagrTable[[#This Row],[Visible]],NOT(CagrTable[[#This Row],[Is Open]]),NOT(CagrTable[[#This Row],[Plug Type]] = "MC"),CagrTable[[#This Row],[Position]]&lt;&gt;"DIV")</f>
        <v>0</v>
      </c>
      <c r="BC28" s="193">
        <f>IF(AND(CagrTable[[#This Row],[Visible]], CagrTable[[#This Row],[Plug Type]] = "MC"), CagrTable[[#This Row],[Basis]], 0)</f>
        <v>0</v>
      </c>
      <c r="BD28" s="182">
        <f>IF(CagrTable[[#This Row],[Is PLUG]], 0, CagrTable[[#This Row],[Proceeds]] - CagrTable[[#This Row],[Basis]])</f>
        <v>913.35</v>
      </c>
      <c r="BE28" s="180">
        <f>IF(AND(OR(CagrTable[[#This Row],[Is Short Call]],CagrTable[[#This Row],[Is Short Put]])), CagrTable[[#This Row],[Proceeds]], 0)</f>
        <v>913.35</v>
      </c>
      <c r="BF28" s="180">
        <f>IF(AND(OR(CagrTable[[#This Row],[Is Short Call]],CagrTable[[#This Row],[Is Short Put]])), CagrTable[[#This Row],[Basis]], 0)</f>
        <v>0</v>
      </c>
      <c r="BG28" s="173">
        <f>IF(CagrTable[[#This Row],[Covered Short Share Equivalent]] &gt; 0,-1 * CagrTable[[#This Row],[Premium Input]] / CagrTable[[#This Row],[Covered Short Share Equivalent]], 0)</f>
        <v>-0.91335</v>
      </c>
      <c r="BH28" s="173">
        <f>IF(CagrTable[[#This Row],[Covered Short Share Equivalent]] &gt; 0, CagrTable[[#This Row],[Premium Offset Input]] / CagrTable[[#This Row],[Covered Short Share Equivalent]], 0)</f>
        <v>0</v>
      </c>
      <c r="BI28" s="173">
        <f>SUM(CagrTable[[#This Row],[Premium ACB]:[Premium Offset ACB]])</f>
        <v>-0.91335</v>
      </c>
      <c r="BJ28" s="173">
        <f>IF(CagrTable[[#This Row],[Is Naked Short]],-1 * CagrTable[[#This Row],[Strike Price]] - (CagrTable[[#This Row],[Proceeds]] / CagrTable[[#This Row],[Naked Short Share Equivalent]]), 0)</f>
        <v>0</v>
      </c>
      <c r="BK28" s="173">
        <f>IF(CagrTable[[#This Row],[Is Short Put]], CagrTable[[#This Row],[Strike Price]] + CagrTable[[#This Row],[Net Short Premium ACB]], 0)</f>
        <v>44.086649999999999</v>
      </c>
      <c r="BL28" s="173">
        <f>IF(AND(CagrTable[[#This Row],[Is Long Call]], NOT(CagrTable[[#This Row],[Is PLUG]])), -1 * CagrTable[[#This Row],[P&amp;L]]/(CagrTable[[#This Row],[Qty]] * 100), 0)</f>
        <v>0</v>
      </c>
      <c r="BM28" s="173">
        <f>IF(AND(NOT(CagrTable[[#This Row],[Is Option]]), NOT(CagrTable[[#This Row],[Is PLUG]]), OR(CagrTable[[#This Row],[Is Open]], CagrTable[[#This Row],[Is DIV]]), N(CagrTable[[#This Row],[Qty]])&lt;&gt;0), -CagrTable[[#This Row],[P&amp;L]]/CagrTable[[#This Row],[Qty]], 0)</f>
        <v>0</v>
      </c>
      <c r="BN28" s="173" t="b">
        <f>AND(_Total_ACB_Shares&lt;&gt;0, NOT(CagrTable[[#This Row],[Is PLUG]]))</f>
        <v>0</v>
      </c>
      <c r="BO28" s="173">
        <f>IF(OR(_Total_ACB_Shares=0, CagrTable[[#This Row],[Is PLUG]]), 0, (CagrTable[[#This Row],[ACB]] * CagrTable[[#This Row],[Qty]] * IF(CagrTable[[#This Row],[Is Option]], 100, 1))/ _Total_ACB_Shares)</f>
        <v>0</v>
      </c>
      <c r="BP28" s="184">
        <f t="shared" si="1"/>
        <v>1</v>
      </c>
      <c r="BQ28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-0.91335</v>
      </c>
      <c r="BR28" s="174">
        <f>CagrTable[[#This Row],[Prelim Weighted ACB]] * CagrTable[[#This Row],[ACB Sign]]</f>
        <v>0</v>
      </c>
      <c r="BS28" s="62">
        <f>CagrTable[[#This Row],[Proceeds]] - CagrTable[[#This Row],[Basis]]</f>
        <v>913.35</v>
      </c>
      <c r="BT28" s="91" t="s">
        <v>79</v>
      </c>
      <c r="BU28" s="63" t="s">
        <v>62</v>
      </c>
      <c r="BV28" s="63" t="s">
        <v>71</v>
      </c>
      <c r="BW28" s="63" t="s">
        <v>72</v>
      </c>
      <c r="BX28" s="27"/>
      <c r="BY28" s="58">
        <v>49.6</v>
      </c>
      <c r="BZ28" s="58">
        <v>0.92</v>
      </c>
      <c r="CA28" s="100">
        <v>46237.432905092595</v>
      </c>
      <c r="CB28" s="58">
        <v>1.5</v>
      </c>
      <c r="CC28" s="58">
        <v>0.54</v>
      </c>
      <c r="CD28" s="65">
        <v>39</v>
      </c>
      <c r="CE28" s="83"/>
      <c r="CF28" s="66" t="s">
        <v>73</v>
      </c>
      <c r="CG28" s="58"/>
      <c r="CH28" s="66" t="s">
        <v>430</v>
      </c>
      <c r="CI28" s="66" t="s">
        <v>65</v>
      </c>
      <c r="CJ28" s="66"/>
      <c r="CK28" s="58">
        <v>50.6</v>
      </c>
      <c r="CL28" s="58">
        <v>0</v>
      </c>
      <c r="CM28" s="64">
        <v>46241.708333333336</v>
      </c>
      <c r="CN28" s="58">
        <v>0</v>
      </c>
      <c r="CO28" s="58">
        <v>0</v>
      </c>
      <c r="CP28" s="67">
        <v>0</v>
      </c>
      <c r="CQ28" s="82"/>
      <c r="CR28" s="58"/>
      <c r="CS28" s="58"/>
      <c r="CT28" s="66" t="s">
        <v>76</v>
      </c>
      <c r="CU28" s="73"/>
      <c r="CV28" s="181" t="s">
        <v>431</v>
      </c>
      <c r="DC28" s="19"/>
      <c r="DL28" s="13"/>
    </row>
    <row r="29" spans="1:116" ht="12.75" hidden="1" customHeight="1">
      <c r="A29" s="69" t="s">
        <v>368</v>
      </c>
      <c r="B29" s="189" t="s">
        <v>78</v>
      </c>
      <c r="C29" s="88">
        <v>10</v>
      </c>
      <c r="D29" s="70">
        <v>1</v>
      </c>
      <c r="E29" s="1" t="str">
        <f>CONCATENATE(CagrTable[[#This Row],[Symbol]], CagrTable[[#This Row],[ID]])</f>
        <v>DRAM1</v>
      </c>
      <c r="F29" s="55" t="s">
        <v>61</v>
      </c>
      <c r="G29" s="56">
        <v>46246.426585648151</v>
      </c>
      <c r="H29" s="58">
        <v>50.14</v>
      </c>
      <c r="I29" s="57">
        <f>IF(ISNUMBER(CagrTable[[#This Row],[Qty]]),CagrTable[[#This Row],[Basis]] /CagrTable[[#This Row],[Qty]], "")</f>
        <v>5.0140000000000002</v>
      </c>
      <c r="J29" s="56">
        <v>46244.532766203702</v>
      </c>
      <c r="K29" s="58">
        <v>503.35</v>
      </c>
      <c r="L29" s="78">
        <f>IF(ISNUMBER(CagrTable[[#This Row],[Qty]]),CagrTable[[#This Row],[Proceeds]] / CagrTable[[#This Row],[Qty]], "")</f>
        <v>50.335000000000001</v>
      </c>
      <c r="M29" s="77">
        <f>IF(CagrTable[[#This Row],[Is Open]], CagrTable[[#This Row],[Date Opened]], CagrTable[[#This Row],[Date Closed]])</f>
        <v>46246.426585648151</v>
      </c>
      <c r="N29" s="101"/>
      <c r="O29"/>
      <c r="P29" s="177"/>
      <c r="Q29" s="176"/>
      <c r="R29" s="71">
        <f>IF(CagrTable[[#This Row],[Sell Date]]=CagrTable[[#This Row],[Acquire Date]], 1, ABS(CagrTable[[#This Row],[Sell Date]] - CagrTable[[#This Row],[Acquire Date]]))</f>
        <v>1.8938194444490364</v>
      </c>
      <c r="S29" s="72">
        <f>CagrTable[[#This Row],[Days Held]] / 30</f>
        <v>6.3127314814967875E-2</v>
      </c>
      <c r="T29" s="178">
        <v>6.65</v>
      </c>
      <c r="U29" s="179">
        <v>0.14000000000000001</v>
      </c>
      <c r="V29" s="158">
        <v>46248.729166666664</v>
      </c>
      <c r="W29" s="60">
        <v>47</v>
      </c>
      <c r="X29" s="75" t="s">
        <v>83</v>
      </c>
      <c r="Y29" s="61" t="s">
        <v>441</v>
      </c>
      <c r="Z29" s="85" t="str">
        <f>IF(OR(CagrTable[[#This Row],[Is Closed]]="", CagrTable[[#This Row],[Is Closed]]="H"),"Y","")</f>
        <v/>
      </c>
      <c r="AA29" s="85" t="str">
        <f>IF(OR(CagrTable[[#This Row],[Position]]="LNG",CagrTable[[#This Row],[Position]]="SHRT"),"Equity","Option")</f>
        <v>Option</v>
      </c>
      <c r="AB29" s="84" t="str">
        <f>IF(CagrTable[[#This Row],[Pricing Update Included]]="Y",IF(CagrTable[[#This Row],[Pricing Update Asset]]="Equity",CagrTable[[#This Row],[Symbol]],CagrTable[[#This Row],[Option Symbol]]),"")</f>
        <v/>
      </c>
      <c r="AC29" s="80">
        <f>SUBTOTAL(103,CagrTable[[#This Row],[Symbol]])</f>
        <v>0</v>
      </c>
      <c r="AD29" s="80" t="b">
        <f>LEFT(CagrTable[[#This Row],[Position]],1)="L"</f>
        <v>0</v>
      </c>
      <c r="AE29" s="80" t="b">
        <f>LEFT(CagrTable[[#This Row],[Position]],1)="S"</f>
        <v>1</v>
      </c>
      <c r="AF29" s="80" t="b">
        <f>(CagrTable[[#This Row],[Position]] = "DIV")</f>
        <v>0</v>
      </c>
      <c r="AG29" s="80" t="b">
        <f>CagrTable[[#This Row],[Position]] = "PLUG"</f>
        <v>0</v>
      </c>
      <c r="AH29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0</v>
      </c>
      <c r="AI29" s="80" t="b">
        <f>CagrTable[[#This Row],[Is Closed]] &lt;&gt; "Y"</f>
        <v>0</v>
      </c>
      <c r="AJ29" s="84" t="b">
        <f>OR(CagrTable[[#This Row],[Option Type]]&lt;&gt;"",
  CagrTable[[#This Row],[Position]]="LC", CagrTable[[#This Row],[Position]]="SC",
  CagrTable[[#This Row],[Position]]="LP",CagrTable[[#This Row],[Position]]="SP"
)</f>
        <v>1</v>
      </c>
      <c r="AK29" s="84" t="b">
        <f>AND(CagrTable[[#This Row],[Option Type]] = "C", CagrTable[[#This Row],[Is Short]])</f>
        <v>0</v>
      </c>
      <c r="AL29" s="84" t="b">
        <f>AND(CagrTable[[#This Row],[Is Short Call]],CagrTable[[#This Row],[Is Naked Call]] = TRUE)</f>
        <v>0</v>
      </c>
      <c r="AM29" s="84" t="b">
        <f>AND(CagrTable[[#This Row],[Option Type]] = "P", CagrTable[[#This Row],[Is Short]])</f>
        <v>1</v>
      </c>
      <c r="AN29" s="84" t="b">
        <f>CagrTable[[#This Row],[Position]]= "LC"</f>
        <v>0</v>
      </c>
      <c r="AO29" s="169">
        <f>IF(AND(CagrTable[[#This Row],[Is Long]], NOT(CagrTable[[#This Row],[Position]]="LP")), CagrTable[[#This Row],[Qty]] * IF(CagrTable[[#This Row],[Is Option]], 100, 1), 0)</f>
        <v>0</v>
      </c>
      <c r="AP29" s="169">
        <f>IF(CagrTable[[#This Row],[Is Naked Short]], CagrTable[[#This Row],[Qty]] * -100, 0)</f>
        <v>0</v>
      </c>
      <c r="AQ29" s="169">
        <f>IF(CagrTable[[#This Row],[Is ACB Put]], CagrTable[[#This Row],[Qty]] * -100, 0)</f>
        <v>0</v>
      </c>
      <c r="AR29" s="169">
        <f>IF(AND(CagrTable[[#This Row],[Is Short]], NOT(CagrTable[[#This Row],[Is Naked Short]])), CagrTable[[#This Row],[Qty]] * IF(CagrTable[[#This Row],[Is Option]], 100, 1), 0)</f>
        <v>1000</v>
      </c>
      <c r="AS29" s="169">
        <f>SUM(CagrTable[[#This Row],[Long Share Equivalent]:[Covered Short Share Equivalent]])</f>
        <v>1000</v>
      </c>
      <c r="AT29" s="169">
        <f>IF(CagrTable[[#This Row],[Is Open]], SUM(CagrTable[[#This Row],[Long Share Equivalent]:[ACB Put Share Equivalent]]), 0)</f>
        <v>0</v>
      </c>
      <c r="AU29" s="166">
        <f>IF(OR(CagrTable[[#This Row],[Is Long]], CagrTable[[#This Row],[Is DIV]]), CagrTable[[#This Row],[Acquire Date]], CagrTable[[#This Row],[Sell Date]])</f>
        <v>46244.532766203702</v>
      </c>
      <c r="AV29" s="166" t="str">
        <f>IF(NOT(CagrTable[[#This Row],[Is Option]]), IF(OR(CagrTable[[#This Row],[Is Long]], CagrTable[[#This Row],[Is DIV]]), CagrTable[[#This Row],[Sell Date]], CagrTable[[#This Row],[Acquire Date]]), "")</f>
        <v/>
      </c>
      <c r="AW29" s="166" t="str">
        <f>IF(AND(CagrTable[[#This Row],[Is Option]], CagrTable[[#This Row],[Is Open]]), IF(CagrTable[[#This Row],[Is Long Call]], CagrTable[[#This Row],[Exp Date]], MIN(MockToday, CagrTable[[#This Row],[Exp Date]])), "")</f>
        <v/>
      </c>
      <c r="AX29" s="166">
        <f>IF(AND(CagrTable[[#This Row],[Is Option]], NOT(CagrTable[[#This Row],[Is Open]])), IF(CagrTable[[#This Row],[Is Long]], CagrTable[[#This Row],[Sell Date]], CagrTable[[#This Row],[Acquire Date]]), "")</f>
        <v>46246.426585648151</v>
      </c>
      <c r="AY29" s="166" cm="1">
        <f t="array" ref="AY29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46246.426585648151</v>
      </c>
      <c r="AZ29" s="80" t="b">
        <f>IF(AND(CagrTable[[#This Row],[Visible]], CagrTable[[#This Row],[Is Open]]), OR(CagrTable[[#This Row],[Is Long]], AND(CagrTable[[#This Row],[Is Short]], CagrTable[[#This Row],[Is Naked Call]])), FALSE)</f>
        <v>0</v>
      </c>
      <c r="BA29" s="80" t="b">
        <f>AND(CagrTable[[#This Row],[Visible]], OR(NOT(CagrTable[[#This Row],[Is PLUG]]), CagrTable[[#This Row],[Plug Type]] = "MTM"))</f>
        <v>0</v>
      </c>
      <c r="BB29" s="80" t="b">
        <f>AND(CagrTable[[#This Row],[Visible]],NOT(CagrTable[[#This Row],[Is Open]]),NOT(CagrTable[[#This Row],[Plug Type]] = "MC"),CagrTable[[#This Row],[Position]]&lt;&gt;"DIV")</f>
        <v>0</v>
      </c>
      <c r="BC29" s="193">
        <f>IF(AND(CagrTable[[#This Row],[Visible]], CagrTable[[#This Row],[Plug Type]] = "MC"), CagrTable[[#This Row],[Basis]], 0)</f>
        <v>0</v>
      </c>
      <c r="BD29" s="182">
        <f>IF(CagrTable[[#This Row],[Is PLUG]], 0, CagrTable[[#This Row],[Proceeds]] - CagrTable[[#This Row],[Basis]])</f>
        <v>453.21000000000004</v>
      </c>
      <c r="BE29" s="180">
        <f>IF(AND(OR(CagrTable[[#This Row],[Is Short Call]],CagrTable[[#This Row],[Is Short Put]])), CagrTable[[#This Row],[Proceeds]], 0)</f>
        <v>503.35</v>
      </c>
      <c r="BF29" s="180">
        <f>IF(AND(OR(CagrTable[[#This Row],[Is Short Call]],CagrTable[[#This Row],[Is Short Put]])), CagrTable[[#This Row],[Basis]], 0)</f>
        <v>50.14</v>
      </c>
      <c r="BG29" s="173">
        <f>IF(CagrTable[[#This Row],[Covered Short Share Equivalent]] &gt; 0,-1 * CagrTable[[#This Row],[Premium Input]] / CagrTable[[#This Row],[Covered Short Share Equivalent]], 0)</f>
        <v>-0.50335000000000008</v>
      </c>
      <c r="BH29" s="173">
        <f>IF(CagrTable[[#This Row],[Covered Short Share Equivalent]] &gt; 0, CagrTable[[#This Row],[Premium Offset Input]] / CagrTable[[#This Row],[Covered Short Share Equivalent]], 0)</f>
        <v>5.0140000000000004E-2</v>
      </c>
      <c r="BI29" s="173">
        <f>SUM(CagrTable[[#This Row],[Premium ACB]:[Premium Offset ACB]])</f>
        <v>-0.45321000000000006</v>
      </c>
      <c r="BJ29" s="173">
        <f>IF(CagrTable[[#This Row],[Is Naked Short]],-1 * CagrTable[[#This Row],[Strike Price]] - (CagrTable[[#This Row],[Proceeds]] / CagrTable[[#This Row],[Naked Short Share Equivalent]]), 0)</f>
        <v>0</v>
      </c>
      <c r="BK29" s="173">
        <f>IF(CagrTable[[#This Row],[Is Short Put]], CagrTable[[#This Row],[Strike Price]] + CagrTable[[#This Row],[Net Short Premium ACB]], 0)</f>
        <v>46.546790000000001</v>
      </c>
      <c r="BL29" s="173">
        <f>IF(AND(CagrTable[[#This Row],[Is Long Call]], NOT(CagrTable[[#This Row],[Is PLUG]])), -1 * CagrTable[[#This Row],[P&amp;L]]/(CagrTable[[#This Row],[Qty]] * 100), 0)</f>
        <v>0</v>
      </c>
      <c r="BM29" s="173">
        <f>IF(AND(NOT(CagrTable[[#This Row],[Is Option]]), NOT(CagrTable[[#This Row],[Is PLUG]]), CagrTable[[#This Row],[Is Open]]), -CagrTable[[#This Row],[P&amp;L]]/CagrTable[[#This Row],[Qty]], 0)</f>
        <v>0</v>
      </c>
      <c r="BN29" s="173" t="b">
        <f>AND(_Total_ACB_Shares&lt;&gt;0, NOT(CagrTable[[#This Row],[Is PLUG]]))</f>
        <v>0</v>
      </c>
      <c r="BO29" s="173">
        <f>IF(OR(_Total_ACB_Shares=0, CagrTable[[#This Row],[Is PLUG]]), 0, (CagrTable[[#This Row],[ACB]] * CagrTable[[#This Row],[Qty]] * IF(CagrTable[[#This Row],[Is Option]], 100, 1))/ _Total_ACB_Shares)</f>
        <v>0</v>
      </c>
      <c r="BP29" s="184">
        <f t="shared" si="1"/>
        <v>1</v>
      </c>
      <c r="BQ29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-0.45321000000000006</v>
      </c>
      <c r="BR29" s="174">
        <f>CagrTable[[#This Row],[Prelim Weighted ACB]] * CagrTable[[#This Row],[ACB Sign]]</f>
        <v>0</v>
      </c>
      <c r="BS29" s="62">
        <f>CagrTable[[#This Row],[Proceeds]] - CagrTable[[#This Row],[Basis]]</f>
        <v>453.21000000000004</v>
      </c>
      <c r="BT29" s="91" t="s">
        <v>79</v>
      </c>
      <c r="BU29" s="63" t="s">
        <v>62</v>
      </c>
      <c r="BV29" s="63" t="s">
        <v>71</v>
      </c>
      <c r="BW29" s="63" t="s">
        <v>87</v>
      </c>
      <c r="BX29" s="27"/>
      <c r="BY29" s="58">
        <v>50.2</v>
      </c>
      <c r="BZ29" s="58">
        <v>0.51</v>
      </c>
      <c r="CA29" s="100">
        <v>46244.532766203702</v>
      </c>
      <c r="CB29" s="58">
        <v>0.95</v>
      </c>
      <c r="CC29" s="58">
        <v>0.45</v>
      </c>
      <c r="CD29" s="65">
        <v>12</v>
      </c>
      <c r="CE29" s="83"/>
      <c r="CF29" s="66" t="s">
        <v>64</v>
      </c>
      <c r="CG29" s="58">
        <v>0.51</v>
      </c>
      <c r="CH29" s="66" t="s">
        <v>442</v>
      </c>
      <c r="CI29" s="66" t="s">
        <v>394</v>
      </c>
      <c r="CJ29" s="66"/>
      <c r="CK29" s="58">
        <v>54.45</v>
      </c>
      <c r="CL29" s="58">
        <v>0.05</v>
      </c>
      <c r="CM29" s="64">
        <v>46246.426585648151</v>
      </c>
      <c r="CN29" s="58">
        <v>0.18</v>
      </c>
      <c r="CO29" s="58">
        <v>0.03</v>
      </c>
      <c r="CP29" s="67">
        <v>86</v>
      </c>
      <c r="CQ29" s="82"/>
      <c r="CR29" s="58" t="s">
        <v>73</v>
      </c>
      <c r="CS29" s="58"/>
      <c r="CT29" s="66" t="s">
        <v>448</v>
      </c>
      <c r="CU29" s="73"/>
      <c r="CV29" s="181" t="s">
        <v>443</v>
      </c>
      <c r="DC29" s="19"/>
      <c r="DL29" s="13"/>
    </row>
    <row r="30" spans="1:116" ht="12.75" hidden="1" customHeight="1">
      <c r="A30" s="69" t="s">
        <v>368</v>
      </c>
      <c r="B30" s="189" t="s">
        <v>67</v>
      </c>
      <c r="C30" s="88">
        <v>10</v>
      </c>
      <c r="D30" s="70">
        <v>1</v>
      </c>
      <c r="E30" s="1" t="str">
        <f>CONCATENATE(CagrTable[[#This Row],[Symbol]], CagrTable[[#This Row],[ID]])</f>
        <v>DRAM1</v>
      </c>
      <c r="F30" s="55" t="s">
        <v>61</v>
      </c>
      <c r="G30" s="56">
        <v>46255.729166666664</v>
      </c>
      <c r="H30" s="58">
        <v>0</v>
      </c>
      <c r="I30" s="57">
        <f>IF(ISNUMBER(CagrTable[[#This Row],[Qty]]),CagrTable[[#This Row],[Basis]] /CagrTable[[#This Row],[Qty]], "")</f>
        <v>0</v>
      </c>
      <c r="J30" s="56">
        <v>46251.43855324074</v>
      </c>
      <c r="K30" s="58">
        <v>713.35</v>
      </c>
      <c r="L30" s="78">
        <f>IF(ISNUMBER(CagrTable[[#This Row],[Qty]]),CagrTable[[#This Row],[Proceeds]] / CagrTable[[#This Row],[Qty]], "")</f>
        <v>71.335000000000008</v>
      </c>
      <c r="M30" s="77">
        <f>IF(CagrTable[[#This Row],[Is Open]], CagrTable[[#This Row],[Date Opened]], CagrTable[[#This Row],[Date Closed]])</f>
        <v>46255.729166666664</v>
      </c>
      <c r="N30" s="101"/>
      <c r="O30"/>
      <c r="P30" s="177"/>
      <c r="Q30" s="176"/>
      <c r="R30" s="71">
        <f>IF(CagrTable[[#This Row],[Sell Date]]=CagrTable[[#This Row],[Acquire Date]], 1, ABS(CagrTable[[#This Row],[Sell Date]] - CagrTable[[#This Row],[Acquire Date]]))</f>
        <v>4.2906134259246755</v>
      </c>
      <c r="S30" s="72">
        <f>CagrTable[[#This Row],[Days Held]] / 30</f>
        <v>0.14302044753082252</v>
      </c>
      <c r="T30" s="178">
        <v>6.65</v>
      </c>
      <c r="U30" s="179"/>
      <c r="V30" s="158">
        <v>46255.729166666664</v>
      </c>
      <c r="W30" s="60">
        <v>65</v>
      </c>
      <c r="X30" s="75" t="s">
        <v>68</v>
      </c>
      <c r="Y30" s="61" t="s">
        <v>452</v>
      </c>
      <c r="Z30" s="85" t="str">
        <f>IF(OR(CagrTable[[#This Row],[Is Closed]]="", CagrTable[[#This Row],[Is Closed]]="H"),"Y","")</f>
        <v/>
      </c>
      <c r="AA30" s="85" t="str">
        <f>IF(OR(CagrTable[[#This Row],[Position]]="LNG",CagrTable[[#This Row],[Position]]="SHRT"),"Equity","Option")</f>
        <v>Option</v>
      </c>
      <c r="AB30" s="84" t="str">
        <f>IF(CagrTable[[#This Row],[Pricing Update Included]]="Y",IF(CagrTable[[#This Row],[Pricing Update Asset]]="Equity",CagrTable[[#This Row],[Symbol]],CagrTable[[#This Row],[Option Symbol]]),"")</f>
        <v/>
      </c>
      <c r="AC30" s="80">
        <f>SUBTOTAL(103,CagrTable[[#This Row],[Symbol]])</f>
        <v>0</v>
      </c>
      <c r="AD30" s="80" t="b">
        <f>LEFT(CagrTable[[#This Row],[Position]],1)="L"</f>
        <v>0</v>
      </c>
      <c r="AE30" s="80" t="b">
        <f>LEFT(CagrTable[[#This Row],[Position]],1)="S"</f>
        <v>1</v>
      </c>
      <c r="AF30" s="80" t="b">
        <f>(CagrTable[[#This Row],[Position]] = "DIV")</f>
        <v>0</v>
      </c>
      <c r="AG30" s="80" t="b">
        <f>CagrTable[[#This Row],[Position]] = "PLUG"</f>
        <v>0</v>
      </c>
      <c r="AH30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0</v>
      </c>
      <c r="AI30" s="80" t="b">
        <f>CagrTable[[#This Row],[Is Closed]] &lt;&gt; "Y"</f>
        <v>0</v>
      </c>
      <c r="AJ30" s="84" t="b">
        <f>OR(CagrTable[[#This Row],[Option Type]]&lt;&gt;"",
  CagrTable[[#This Row],[Position]]="LC", CagrTable[[#This Row],[Position]]="SC",
  CagrTable[[#This Row],[Position]]="LP",CagrTable[[#This Row],[Position]]="SP"
)</f>
        <v>1</v>
      </c>
      <c r="AK30" s="84" t="b">
        <f>AND(CagrTable[[#This Row],[Option Type]] = "C", CagrTable[[#This Row],[Is Short]])</f>
        <v>1</v>
      </c>
      <c r="AL30" s="84" t="b">
        <f>AND(CagrTable[[#This Row],[Is Short Call]],CagrTable[[#This Row],[Is Naked Call]] = TRUE)</f>
        <v>0</v>
      </c>
      <c r="AM30" s="84" t="b">
        <f>AND(CagrTable[[#This Row],[Option Type]] = "P", CagrTable[[#This Row],[Is Short]])</f>
        <v>0</v>
      </c>
      <c r="AN30" s="84" t="b">
        <f>CagrTable[[#This Row],[Position]]= "LC"</f>
        <v>0</v>
      </c>
      <c r="AO30" s="169">
        <f>IF(AND(CagrTable[[#This Row],[Is Long]], NOT(CagrTable[[#This Row],[Position]]="LP")), CagrTable[[#This Row],[Qty]] * IF(CagrTable[[#This Row],[Is Option]], 100, 1), 0)</f>
        <v>0</v>
      </c>
      <c r="AP30" s="169">
        <f>IF(CagrTable[[#This Row],[Is Naked Short]], CagrTable[[#This Row],[Qty]] * -100, 0)</f>
        <v>0</v>
      </c>
      <c r="AQ30" s="169">
        <f>IF(CagrTable[[#This Row],[Is ACB Put]], CagrTable[[#This Row],[Qty]] * -100, 0)</f>
        <v>0</v>
      </c>
      <c r="AR30" s="169">
        <f>IF(AND(CagrTable[[#This Row],[Is Short]], NOT(CagrTable[[#This Row],[Is Naked Short]])), CagrTable[[#This Row],[Qty]] * IF(CagrTable[[#This Row],[Is Option]], 100, 1), 0)</f>
        <v>1000</v>
      </c>
      <c r="AS30" s="169">
        <f>SUM(CagrTable[[#This Row],[Long Share Equivalent]:[Covered Short Share Equivalent]])</f>
        <v>1000</v>
      </c>
      <c r="AT30" s="169">
        <f>IF(CagrTable[[#This Row],[Is Open]], SUM(CagrTable[[#This Row],[Long Share Equivalent]:[ACB Put Share Equivalent]]), 0)</f>
        <v>0</v>
      </c>
      <c r="AU30" s="166">
        <f>IF(OR(CagrTable[[#This Row],[Is Long]], CagrTable[[#This Row],[Is DIV]]), CagrTable[[#This Row],[Acquire Date]], CagrTable[[#This Row],[Sell Date]])</f>
        <v>46251.43855324074</v>
      </c>
      <c r="AV30" s="166" t="str">
        <f>IF(NOT(CagrTable[[#This Row],[Is Option]]), IF(OR(CagrTable[[#This Row],[Is Long]], CagrTable[[#This Row],[Is DIV]]), CagrTable[[#This Row],[Sell Date]], CagrTable[[#This Row],[Acquire Date]]), "")</f>
        <v/>
      </c>
      <c r="AW30" s="166" t="str">
        <f>IF(AND(CagrTable[[#This Row],[Is Option]], CagrTable[[#This Row],[Is Open]]), IF(CagrTable[[#This Row],[Is Long Call]], CagrTable[[#This Row],[Exp Date]], MIN(MockToday, CagrTable[[#This Row],[Exp Date]])), "")</f>
        <v/>
      </c>
      <c r="AX30" s="166">
        <f>IF(AND(CagrTable[[#This Row],[Is Option]], NOT(CagrTable[[#This Row],[Is Open]])), IF(CagrTable[[#This Row],[Is Long]], CagrTable[[#This Row],[Sell Date]], CagrTable[[#This Row],[Acquire Date]]), "")</f>
        <v>46255.729166666664</v>
      </c>
      <c r="AY30" s="166" cm="1">
        <f t="array" ref="AY30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46255.729166666664</v>
      </c>
      <c r="AZ30" s="80" t="b">
        <f>IF(AND(CagrTable[[#This Row],[Visible]], CagrTable[[#This Row],[Is Open]]), OR(CagrTable[[#This Row],[Is Long]], AND(CagrTable[[#This Row],[Is Short]], CagrTable[[#This Row],[Is Naked Call]])), FALSE)</f>
        <v>0</v>
      </c>
      <c r="BA30" s="80" t="b">
        <f>AND(CagrTable[[#This Row],[Visible]], OR(NOT(CagrTable[[#This Row],[Is PLUG]]), CagrTable[[#This Row],[Plug Type]] = "MTM"))</f>
        <v>0</v>
      </c>
      <c r="BB30" s="80" t="b">
        <f>AND(CagrTable[[#This Row],[Visible]],NOT(CagrTable[[#This Row],[Is Open]]),NOT(CagrTable[[#This Row],[Plug Type]] = "MC"),CagrTable[[#This Row],[Position]]&lt;&gt;"DIV")</f>
        <v>0</v>
      </c>
      <c r="BC30" s="193">
        <f>IF(AND(CagrTable[[#This Row],[Visible]], CagrTable[[#This Row],[Plug Type]] = "MC"), CagrTable[[#This Row],[Basis]], 0)</f>
        <v>0</v>
      </c>
      <c r="BD30" s="182">
        <f>IF(CagrTable[[#This Row],[Is PLUG]], 0, CagrTable[[#This Row],[Proceeds]] - CagrTable[[#This Row],[Basis]])</f>
        <v>713.35</v>
      </c>
      <c r="BE30" s="180">
        <f>IF(AND(OR(CagrTable[[#This Row],[Is Short Call]],CagrTable[[#This Row],[Is Short Put]])), CagrTable[[#This Row],[Proceeds]], 0)</f>
        <v>713.35</v>
      </c>
      <c r="BF30" s="180">
        <f>IF(AND(OR(CagrTable[[#This Row],[Is Short Call]],CagrTable[[#This Row],[Is Short Put]])), CagrTable[[#This Row],[Basis]], 0)</f>
        <v>0</v>
      </c>
      <c r="BG30" s="173">
        <f>IF(CagrTable[[#This Row],[Covered Short Share Equivalent]] &gt; 0,-1 * CagrTable[[#This Row],[Premium Input]] / CagrTable[[#This Row],[Covered Short Share Equivalent]], 0)</f>
        <v>-0.71335000000000004</v>
      </c>
      <c r="BH30" s="173">
        <f>IF(CagrTable[[#This Row],[Covered Short Share Equivalent]] &gt; 0, CagrTable[[#This Row],[Premium Offset Input]] / CagrTable[[#This Row],[Covered Short Share Equivalent]], 0)</f>
        <v>0</v>
      </c>
      <c r="BI30" s="173">
        <f>SUM(CagrTable[[#This Row],[Premium ACB]:[Premium Offset ACB]])</f>
        <v>-0.71335000000000004</v>
      </c>
      <c r="BJ30" s="173">
        <f>IF(CagrTable[[#This Row],[Is Naked Short]],-1 * CagrTable[[#This Row],[Strike Price]] - (CagrTable[[#This Row],[Proceeds]] / CagrTable[[#This Row],[Naked Short Share Equivalent]]), 0)</f>
        <v>0</v>
      </c>
      <c r="BK30" s="173">
        <f>IF(CagrTable[[#This Row],[Is Short Put]], CagrTable[[#This Row],[Strike Price]] + CagrTable[[#This Row],[Net Short Premium ACB]], 0)</f>
        <v>0</v>
      </c>
      <c r="BL30" s="173">
        <f>IF(AND(CagrTable[[#This Row],[Is Long Call]], NOT(CagrTable[[#This Row],[Is PLUG]])), -1 * CagrTable[[#This Row],[P&amp;L]]/(CagrTable[[#This Row],[Qty]] * 100), 0)</f>
        <v>0</v>
      </c>
      <c r="BM30" s="173">
        <f>IF(AND(NOT(CagrTable[[#This Row],[Is Option]]), NOT(CagrTable[[#This Row],[Is PLUG]]), CagrTable[[#This Row],[Is Open]]), -CagrTable[[#This Row],[P&amp;L]]/CagrTable[[#This Row],[Qty]], 0)</f>
        <v>0</v>
      </c>
      <c r="BN30" s="173" t="b">
        <f>AND(_Total_ACB_Shares&lt;&gt;0, NOT(CagrTable[[#This Row],[Is PLUG]]))</f>
        <v>0</v>
      </c>
      <c r="BO30" s="173">
        <f>IF(OR(_Total_ACB_Shares=0, CagrTable[[#This Row],[Is PLUG]]), 0, (CagrTable[[#This Row],[ACB]] * CagrTable[[#This Row],[Qty]] * IF(CagrTable[[#This Row],[Is Option]], 100, 1))/ _Total_ACB_Shares)</f>
        <v>0</v>
      </c>
      <c r="BP30" s="184">
        <f t="shared" si="1"/>
        <v>1</v>
      </c>
      <c r="BQ30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-0.71335000000000004</v>
      </c>
      <c r="BR30" s="174">
        <f>CagrTable[[#This Row],[Prelim Weighted ACB]] * CagrTable[[#This Row],[ACB Sign]]</f>
        <v>0</v>
      </c>
      <c r="BS30" s="62">
        <f>CagrTable[[#This Row],[Proceeds]] - CagrTable[[#This Row],[Basis]]</f>
        <v>713.35</v>
      </c>
      <c r="BT30" s="91" t="s">
        <v>70</v>
      </c>
      <c r="BU30" s="63" t="s">
        <v>62</v>
      </c>
      <c r="BV30" s="63" t="s">
        <v>71</v>
      </c>
      <c r="BW30" s="63" t="s">
        <v>87</v>
      </c>
      <c r="BX30" s="27"/>
      <c r="BY30" s="58">
        <v>61.1</v>
      </c>
      <c r="BZ30" s="58">
        <v>0.72</v>
      </c>
      <c r="CA30" s="100">
        <v>46251.43855324074</v>
      </c>
      <c r="CB30" s="58">
        <v>1.05</v>
      </c>
      <c r="CC30" s="58">
        <v>0.25</v>
      </c>
      <c r="CD30" s="65">
        <v>58</v>
      </c>
      <c r="CE30" s="83"/>
      <c r="CF30" s="66" t="s">
        <v>64</v>
      </c>
      <c r="CG30" s="58">
        <v>0.72</v>
      </c>
      <c r="CH30" s="66" t="s">
        <v>453</v>
      </c>
      <c r="CI30" s="66" t="s">
        <v>65</v>
      </c>
      <c r="CJ30" s="66"/>
      <c r="CK30" s="58">
        <v>57.68</v>
      </c>
      <c r="CL30" s="58">
        <v>0</v>
      </c>
      <c r="CM30" s="64">
        <v>46255.708333333336</v>
      </c>
      <c r="CN30" s="58">
        <v>0</v>
      </c>
      <c r="CO30" s="58">
        <v>0</v>
      </c>
      <c r="CP30" s="67">
        <v>0</v>
      </c>
      <c r="CQ30" s="82"/>
      <c r="CR30" s="58"/>
      <c r="CS30" s="58"/>
      <c r="CT30" s="66" t="s">
        <v>76</v>
      </c>
      <c r="CU30" s="73"/>
      <c r="CV30" s="181" t="s">
        <v>454</v>
      </c>
      <c r="DC30" s="19"/>
      <c r="DL30" s="13"/>
    </row>
    <row r="31" spans="1:116" ht="12.75" hidden="1" customHeight="1">
      <c r="A31" s="69" t="s">
        <v>368</v>
      </c>
      <c r="B31" s="189" t="s">
        <v>78</v>
      </c>
      <c r="C31" s="88">
        <v>10</v>
      </c>
      <c r="D31" s="70">
        <v>1</v>
      </c>
      <c r="E31" s="1" t="str">
        <f>CONCATENATE(CagrTable[[#This Row],[Symbol]], CagrTable[[#This Row],[ID]])</f>
        <v>DRAM1</v>
      </c>
      <c r="F31" s="55" t="s">
        <v>61</v>
      </c>
      <c r="G31" s="56">
        <v>46255.729166666664</v>
      </c>
      <c r="H31" s="58">
        <v>0</v>
      </c>
      <c r="I31" s="57">
        <f>IF(ISNUMBER(CagrTable[[#This Row],[Qty]]),CagrTable[[#This Row],[Basis]] /CagrTable[[#This Row],[Qty]], "")</f>
        <v>0</v>
      </c>
      <c r="J31" s="56">
        <v>46252.425057870372</v>
      </c>
      <c r="K31" s="58">
        <v>613.35</v>
      </c>
      <c r="L31" s="78">
        <f>IF(ISNUMBER(CagrTable[[#This Row],[Qty]]),CagrTable[[#This Row],[Proceeds]] / CagrTable[[#This Row],[Qty]], "")</f>
        <v>61.335000000000001</v>
      </c>
      <c r="M31" s="77">
        <f>IF(CagrTable[[#This Row],[Is Open]], CagrTable[[#This Row],[Date Opened]], CagrTable[[#This Row],[Date Closed]])</f>
        <v>46255.729166666664</v>
      </c>
      <c r="N31" s="101"/>
      <c r="O31"/>
      <c r="P31" s="177"/>
      <c r="Q31" s="176"/>
      <c r="R31" s="71">
        <f>IF(CagrTable[[#This Row],[Sell Date]]=CagrTable[[#This Row],[Acquire Date]], 1, ABS(CagrTable[[#This Row],[Sell Date]] - CagrTable[[#This Row],[Acquire Date]]))</f>
        <v>3.3041087962919846</v>
      </c>
      <c r="S31" s="59">
        <f>CagrTable[[#This Row],[Days Held]] / 30</f>
        <v>0.11013695987639949</v>
      </c>
      <c r="T31" s="178">
        <v>6.65</v>
      </c>
      <c r="U31" s="179"/>
      <c r="V31" s="158">
        <v>46255.729166666664</v>
      </c>
      <c r="W31" s="60">
        <v>53.5</v>
      </c>
      <c r="X31" s="75" t="s">
        <v>83</v>
      </c>
      <c r="Y31" s="61" t="s">
        <v>455</v>
      </c>
      <c r="Z31" s="85" t="str">
        <f>IF(OR(CagrTable[[#This Row],[Is Closed]]="", CagrTable[[#This Row],[Is Closed]]="H"),"Y","")</f>
        <v/>
      </c>
      <c r="AA31" s="85" t="str">
        <f>IF(OR(CagrTable[[#This Row],[Position]]="LNG",CagrTable[[#This Row],[Position]]="SHRT"),"Equity","Option")</f>
        <v>Option</v>
      </c>
      <c r="AB31" s="84" t="str">
        <f>IF(CagrTable[[#This Row],[Pricing Update Included]]="Y",IF(CagrTable[[#This Row],[Pricing Update Asset]]="Equity",CagrTable[[#This Row],[Symbol]],CagrTable[[#This Row],[Option Symbol]]),"")</f>
        <v/>
      </c>
      <c r="AC31" s="80">
        <f>SUBTOTAL(103,CagrTable[[#This Row],[Symbol]])</f>
        <v>0</v>
      </c>
      <c r="AD31" s="80" t="b">
        <f>LEFT(CagrTable[[#This Row],[Position]],1)="L"</f>
        <v>0</v>
      </c>
      <c r="AE31" s="80" t="b">
        <f>LEFT(CagrTable[[#This Row],[Position]],1)="S"</f>
        <v>1</v>
      </c>
      <c r="AF31" s="80" t="b">
        <f>(CagrTable[[#This Row],[Position]] = "DIV")</f>
        <v>0</v>
      </c>
      <c r="AG31" s="80" t="b">
        <f>CagrTable[[#This Row],[Position]] = "PLUG"</f>
        <v>0</v>
      </c>
      <c r="AH31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0</v>
      </c>
      <c r="AI31" s="80" t="b">
        <f>CagrTable[[#This Row],[Is Closed]] &lt;&gt; "Y"</f>
        <v>0</v>
      </c>
      <c r="AJ31" s="84" t="b">
        <f>OR(CagrTable[[#This Row],[Option Type]]&lt;&gt;"",
  CagrTable[[#This Row],[Position]]="LC", CagrTable[[#This Row],[Position]]="SC",
  CagrTable[[#This Row],[Position]]="LP",CagrTable[[#This Row],[Position]]="SP"
)</f>
        <v>1</v>
      </c>
      <c r="AK31" s="84" t="b">
        <f>AND(CagrTable[[#This Row],[Option Type]] = "C", CagrTable[[#This Row],[Is Short]])</f>
        <v>0</v>
      </c>
      <c r="AL31" s="84" t="b">
        <f>AND(CagrTable[[#This Row],[Is Short Call]],CagrTable[[#This Row],[Is Naked Call]] = TRUE)</f>
        <v>0</v>
      </c>
      <c r="AM31" s="84" t="b">
        <f>AND(CagrTable[[#This Row],[Option Type]] = "P", CagrTable[[#This Row],[Is Short]])</f>
        <v>1</v>
      </c>
      <c r="AN31" s="84" t="b">
        <f>CagrTable[[#This Row],[Position]]= "LC"</f>
        <v>0</v>
      </c>
      <c r="AO31" s="169">
        <f>IF(AND(CagrTable[[#This Row],[Is Long]], NOT(CagrTable[[#This Row],[Position]]="LP")), CagrTable[[#This Row],[Qty]] * IF(CagrTable[[#This Row],[Is Option]], 100, 1), 0)</f>
        <v>0</v>
      </c>
      <c r="AP31" s="169">
        <f>IF(CagrTable[[#This Row],[Is Naked Short]], CagrTable[[#This Row],[Qty]] * -100, 0)</f>
        <v>0</v>
      </c>
      <c r="AQ31" s="169">
        <f>IF(CagrTable[[#This Row],[Is ACB Put]], CagrTable[[#This Row],[Qty]] * -100, 0)</f>
        <v>0</v>
      </c>
      <c r="AR31" s="169">
        <f>IF(AND(CagrTable[[#This Row],[Is Short]], NOT(CagrTable[[#This Row],[Is Naked Short]])), CagrTable[[#This Row],[Qty]] * IF(CagrTable[[#This Row],[Is Option]], 100, 1), 0)</f>
        <v>1000</v>
      </c>
      <c r="AS31" s="169">
        <f>SUM(CagrTable[[#This Row],[Long Share Equivalent]:[Covered Short Share Equivalent]])</f>
        <v>1000</v>
      </c>
      <c r="AT31" s="169">
        <f>IF(CagrTable[[#This Row],[Is Open]], SUM(CagrTable[[#This Row],[Long Share Equivalent]:[ACB Put Share Equivalent]]), 0)</f>
        <v>0</v>
      </c>
      <c r="AU31" s="166">
        <f>IF(OR(CagrTable[[#This Row],[Is Long]], CagrTable[[#This Row],[Is DIV]]), CagrTable[[#This Row],[Acquire Date]], CagrTable[[#This Row],[Sell Date]])</f>
        <v>46252.425057870372</v>
      </c>
      <c r="AV31" s="166" t="str">
        <f>IF(NOT(CagrTable[[#This Row],[Is Option]]), IF(OR(CagrTable[[#This Row],[Is Long]], CagrTable[[#This Row],[Is DIV]]), CagrTable[[#This Row],[Sell Date]], CagrTable[[#This Row],[Acquire Date]]), "")</f>
        <v/>
      </c>
      <c r="AW31" s="166" t="str">
        <f>IF(AND(CagrTable[[#This Row],[Is Option]], CagrTable[[#This Row],[Is Open]]), IF(CagrTable[[#This Row],[Is Long Call]], CagrTable[[#This Row],[Exp Date]], MIN(MockToday, CagrTable[[#This Row],[Exp Date]])), "")</f>
        <v/>
      </c>
      <c r="AX31" s="166">
        <f>IF(AND(CagrTable[[#This Row],[Is Option]], NOT(CagrTable[[#This Row],[Is Open]])), IF(CagrTable[[#This Row],[Is Long]], CagrTable[[#This Row],[Sell Date]], CagrTable[[#This Row],[Acquire Date]]), "")</f>
        <v>46255.729166666664</v>
      </c>
      <c r="AY31" s="166" cm="1">
        <f t="array" ref="AY31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46255.729166666664</v>
      </c>
      <c r="AZ31" s="80" t="b">
        <f>IF(AND(CagrTable[[#This Row],[Visible]], CagrTable[[#This Row],[Is Open]]), OR(CagrTable[[#This Row],[Is Long]], AND(CagrTable[[#This Row],[Is Short]], CagrTable[[#This Row],[Is Naked Call]])), FALSE)</f>
        <v>0</v>
      </c>
      <c r="BA31" s="80" t="b">
        <f>AND(CagrTable[[#This Row],[Visible]], OR(NOT(CagrTable[[#This Row],[Is PLUG]]), CagrTable[[#This Row],[Plug Type]] = "MTM"))</f>
        <v>0</v>
      </c>
      <c r="BB31" s="80" t="b">
        <f>AND(CagrTable[[#This Row],[Visible]],NOT(CagrTable[[#This Row],[Is Open]]),NOT(CagrTable[[#This Row],[Plug Type]] = "MC"),CagrTable[[#This Row],[Position]]&lt;&gt;"DIV")</f>
        <v>0</v>
      </c>
      <c r="BC31" s="193">
        <f>IF(AND(CagrTable[[#This Row],[Visible]], CagrTable[[#This Row],[Plug Type]] = "MC"), CagrTable[[#This Row],[Basis]], 0)</f>
        <v>0</v>
      </c>
      <c r="BD31" s="182">
        <f>IF(CagrTable[[#This Row],[Is PLUG]], 0, CagrTable[[#This Row],[Proceeds]] - CagrTable[[#This Row],[Basis]])</f>
        <v>613.35</v>
      </c>
      <c r="BE31" s="180">
        <f>IF(AND(OR(CagrTable[[#This Row],[Is Short Call]],CagrTable[[#This Row],[Is Short Put]])), CagrTable[[#This Row],[Proceeds]], 0)</f>
        <v>613.35</v>
      </c>
      <c r="BF31" s="180">
        <f>IF(AND(OR(CagrTable[[#This Row],[Is Short Call]],CagrTable[[#This Row],[Is Short Put]])), CagrTable[[#This Row],[Basis]], 0)</f>
        <v>0</v>
      </c>
      <c r="BG31" s="173">
        <f>IF(CagrTable[[#This Row],[Covered Short Share Equivalent]] &gt; 0,-1 * CagrTable[[#This Row],[Premium Input]] / CagrTable[[#This Row],[Covered Short Share Equivalent]], 0)</f>
        <v>-0.61335000000000006</v>
      </c>
      <c r="BH31" s="173">
        <f>IF(CagrTable[[#This Row],[Covered Short Share Equivalent]] &gt; 0, CagrTable[[#This Row],[Premium Offset Input]] / CagrTable[[#This Row],[Covered Short Share Equivalent]], 0)</f>
        <v>0</v>
      </c>
      <c r="BI31" s="173">
        <f>SUM(CagrTable[[#This Row],[Premium ACB]:[Premium Offset ACB]])</f>
        <v>-0.61335000000000006</v>
      </c>
      <c r="BJ31" s="173">
        <f>IF(CagrTable[[#This Row],[Is Naked Short]],-1 * CagrTable[[#This Row],[Strike Price]] - (CagrTable[[#This Row],[Proceeds]] / CagrTable[[#This Row],[Naked Short Share Equivalent]]), 0)</f>
        <v>0</v>
      </c>
      <c r="BK31" s="173">
        <f>IF(CagrTable[[#This Row],[Is Short Put]], CagrTable[[#This Row],[Strike Price]] + CagrTable[[#This Row],[Net Short Premium ACB]], 0)</f>
        <v>52.886650000000003</v>
      </c>
      <c r="BL31" s="173">
        <f>IF(AND(CagrTable[[#This Row],[Is Long Call]], NOT(CagrTable[[#This Row],[Is PLUG]])), -1 * CagrTable[[#This Row],[P&amp;L]]/(CagrTable[[#This Row],[Qty]] * 100), 0)</f>
        <v>0</v>
      </c>
      <c r="BM31" s="173">
        <f>IF(AND(NOT(CagrTable[[#This Row],[Is Option]]), NOT(CagrTable[[#This Row],[Is PLUG]]), CagrTable[[#This Row],[Is Open]]), -CagrTable[[#This Row],[P&amp;L]]/CagrTable[[#This Row],[Qty]], 0)</f>
        <v>0</v>
      </c>
      <c r="BN31" s="173" t="b">
        <f>AND(_Total_ACB_Shares&lt;&gt;0, NOT(CagrTable[[#This Row],[Is PLUG]]))</f>
        <v>0</v>
      </c>
      <c r="BO31" s="173">
        <f>IF(OR(_Total_ACB_Shares=0, CagrTable[[#This Row],[Is PLUG]]), 0, (CagrTable[[#This Row],[ACB]] * CagrTable[[#This Row],[Qty]] * IF(CagrTable[[#This Row],[Is Option]], 100, 1))/ _Total_ACB_Shares)</f>
        <v>0</v>
      </c>
      <c r="BP31" s="184">
        <f t="shared" si="1"/>
        <v>1</v>
      </c>
      <c r="BQ31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-0.61335000000000006</v>
      </c>
      <c r="BR31" s="174">
        <f>CagrTable[[#This Row],[Prelim Weighted ACB]] * CagrTable[[#This Row],[ACB Sign]]</f>
        <v>0</v>
      </c>
      <c r="BS31" s="62">
        <f>CagrTable[[#This Row],[Proceeds]] - CagrTable[[#This Row],[Basis]]</f>
        <v>613.35</v>
      </c>
      <c r="BT31" s="91" t="s">
        <v>79</v>
      </c>
      <c r="BU31" s="63" t="s">
        <v>62</v>
      </c>
      <c r="BV31" s="63" t="s">
        <v>71</v>
      </c>
      <c r="BW31" s="63" t="s">
        <v>87</v>
      </c>
      <c r="BX31" s="27"/>
      <c r="BY31" s="58">
        <v>56.1</v>
      </c>
      <c r="BZ31" s="58">
        <v>0.62</v>
      </c>
      <c r="CA31" s="100">
        <v>46252.425057870372</v>
      </c>
      <c r="CB31" s="58">
        <v>1.02</v>
      </c>
      <c r="CC31" s="58">
        <v>0.39</v>
      </c>
      <c r="CD31" s="65">
        <v>36</v>
      </c>
      <c r="CE31" s="82"/>
      <c r="CF31" s="66" t="s">
        <v>64</v>
      </c>
      <c r="CG31" s="58">
        <v>0.62</v>
      </c>
      <c r="CH31" s="66" t="s">
        <v>456</v>
      </c>
      <c r="CI31" s="66" t="s">
        <v>65</v>
      </c>
      <c r="CJ31" s="66"/>
      <c r="CK31" s="58">
        <v>57.68</v>
      </c>
      <c r="CL31" s="58">
        <v>0</v>
      </c>
      <c r="CM31" s="64">
        <v>46255.708333333336</v>
      </c>
      <c r="CN31" s="58">
        <v>0</v>
      </c>
      <c r="CO31" s="58">
        <v>0</v>
      </c>
      <c r="CP31" s="67">
        <v>0</v>
      </c>
      <c r="CQ31" s="82"/>
      <c r="CR31" s="58"/>
      <c r="CS31" s="58"/>
      <c r="CT31" s="66" t="s">
        <v>76</v>
      </c>
      <c r="CU31" s="68"/>
      <c r="CV31" s="181" t="s">
        <v>457</v>
      </c>
      <c r="DC31" s="19"/>
      <c r="DL31" s="13"/>
    </row>
    <row r="32" spans="1:116" ht="12.75" hidden="1" customHeight="1">
      <c r="A32" s="69" t="s">
        <v>368</v>
      </c>
      <c r="B32" s="189" t="s">
        <v>100</v>
      </c>
      <c r="C32" s="88">
        <v>1000</v>
      </c>
      <c r="D32" s="70">
        <v>1</v>
      </c>
      <c r="E32" s="1" t="str">
        <f>CONCATENATE(CagrTable[[#This Row],[Symbol]], CagrTable[[#This Row],[ID]])</f>
        <v>DRAM1</v>
      </c>
      <c r="F32" s="55"/>
      <c r="G32" s="56">
        <v>46196</v>
      </c>
      <c r="H32" s="58">
        <v>0</v>
      </c>
      <c r="I32" s="57">
        <f>IF(ISNUMBER(CagrTable[[#This Row],[Qty]]),CagrTable[[#This Row],[Basis]] /CagrTable[[#This Row],[Qty]], "")</f>
        <v>0</v>
      </c>
      <c r="J32" s="56">
        <v>46257</v>
      </c>
      <c r="K32" s="58">
        <v>57680</v>
      </c>
      <c r="L32" s="78">
        <f>IF(ISNUMBER(CagrTable[[#This Row],[Qty]]),CagrTable[[#This Row],[Proceeds]] / CagrTable[[#This Row],[Qty]], "")</f>
        <v>57.68</v>
      </c>
      <c r="M32" s="77">
        <f>IF(CagrTable[[#This Row],[Is Open]], CagrTable[[#This Row],[Date Opened]], CagrTable[[#This Row],[Date Closed]])</f>
        <v>46257</v>
      </c>
      <c r="N32" s="101" t="s">
        <v>230</v>
      </c>
      <c r="O32"/>
      <c r="P32" s="177"/>
      <c r="Q32" s="176"/>
      <c r="R32" s="71">
        <f>IF(CagrTable[[#This Row],[Sell Date]]=CagrTable[[#This Row],[Acquire Date]], 1, ABS(CagrTable[[#This Row],[Sell Date]] - CagrTable[[#This Row],[Acquire Date]]))</f>
        <v>61</v>
      </c>
      <c r="S32" s="72">
        <f>CagrTable[[#This Row],[Days Held]] / 30</f>
        <v>2.0333333333333332</v>
      </c>
      <c r="T32" s="178"/>
      <c r="U32" s="179"/>
      <c r="V32" s="158"/>
      <c r="W32" s="60"/>
      <c r="X32" s="75"/>
      <c r="Y32" s="61"/>
      <c r="Z32" s="85" t="str">
        <f>IF(OR(CagrTable[[#This Row],[Is Closed]]="", CagrTable[[#This Row],[Is Closed]]="H"),"Y","")</f>
        <v>Y</v>
      </c>
      <c r="AA32" s="85" t="str">
        <f>IF(OR(CagrTable[[#This Row],[Position]]="LNG",CagrTable[[#This Row],[Position]]="SHRT"),"Equity","Option")</f>
        <v>Option</v>
      </c>
      <c r="AB32" s="84">
        <f>IF(CagrTable[[#This Row],[Pricing Update Included]]="Y",IF(CagrTable[[#This Row],[Pricing Update Asset]]="Equity",CagrTable[[#This Row],[Symbol]],CagrTable[[#This Row],[Option Symbol]]),"")</f>
        <v>0</v>
      </c>
      <c r="AC32" s="80">
        <f>SUBTOTAL(103,CagrTable[[#This Row],[Symbol]])</f>
        <v>0</v>
      </c>
      <c r="AD32" s="80" t="b">
        <f>LEFT(CagrTable[[#This Row],[Position]],1)="L"</f>
        <v>0</v>
      </c>
      <c r="AE32" s="80" t="b">
        <f>LEFT(CagrTable[[#This Row],[Position]],1)="S"</f>
        <v>0</v>
      </c>
      <c r="AF32" s="80" t="b">
        <f>(CagrTable[[#This Row],[Position]] = "DIV")</f>
        <v>0</v>
      </c>
      <c r="AG32" s="80" t="b">
        <f>CagrTable[[#This Row],[Position]] = "PLUG"</f>
        <v>1</v>
      </c>
      <c r="AH32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1</v>
      </c>
      <c r="AI32" s="80" t="b">
        <f>CagrTable[[#This Row],[Is Closed]] &lt;&gt; "Y"</f>
        <v>1</v>
      </c>
      <c r="AJ32" s="84" t="b">
        <f>OR(CagrTable[[#This Row],[Option Type]]&lt;&gt;"",
  CagrTable[[#This Row],[Position]]="LC", CagrTable[[#This Row],[Position]]="SC",
  CagrTable[[#This Row],[Position]]="LP",CagrTable[[#This Row],[Position]]="SP"
)</f>
        <v>0</v>
      </c>
      <c r="AK32" s="84" t="b">
        <f>AND(CagrTable[[#This Row],[Option Type]] = "C", CagrTable[[#This Row],[Is Short]])</f>
        <v>0</v>
      </c>
      <c r="AL32" s="84" t="b">
        <f>AND(CagrTable[[#This Row],[Is Short Call]],CagrTable[[#This Row],[Is Naked Call]] = TRUE)</f>
        <v>0</v>
      </c>
      <c r="AM32" s="84" t="b">
        <f>AND(CagrTable[[#This Row],[Option Type]] = "P", CagrTable[[#This Row],[Is Short]])</f>
        <v>0</v>
      </c>
      <c r="AN32" s="84" t="b">
        <f>CagrTable[[#This Row],[Position]]= "LC"</f>
        <v>0</v>
      </c>
      <c r="AO32" s="169">
        <f>IF(AND(CagrTable[[#This Row],[Is Long]], NOT(CagrTable[[#This Row],[Position]]="LP")), CagrTable[[#This Row],[Qty]] * IF(CagrTable[[#This Row],[Is Option]], 100, 1), 0)</f>
        <v>0</v>
      </c>
      <c r="AP32" s="169">
        <f>IF(CagrTable[[#This Row],[Is Naked Short]], CagrTable[[#This Row],[Qty]] * -100, 0)</f>
        <v>0</v>
      </c>
      <c r="AQ32" s="169">
        <f>IF(CagrTable[[#This Row],[Is ACB Put]], CagrTable[[#This Row],[Qty]] * -100, 0)</f>
        <v>0</v>
      </c>
      <c r="AR32" s="169">
        <f>IF(AND(CagrTable[[#This Row],[Is Short]], NOT(CagrTable[[#This Row],[Is Naked Short]])), CagrTable[[#This Row],[Qty]] * IF(CagrTable[[#This Row],[Is Option]], 100, 1), 0)</f>
        <v>0</v>
      </c>
      <c r="AS32" s="169">
        <f>SUM(CagrTable[[#This Row],[Long Share Equivalent]:[Covered Short Share Equivalent]])</f>
        <v>0</v>
      </c>
      <c r="AT32" s="169">
        <f>IF(CagrTable[[#This Row],[Is Open]], SUM(CagrTable[[#This Row],[Long Share Equivalent]:[ACB Put Share Equivalent]]), 0)</f>
        <v>0</v>
      </c>
      <c r="AU32" s="166">
        <f>IF(OR(CagrTable[[#This Row],[Is Long]], CagrTable[[#This Row],[Is DIV]]), CagrTable[[#This Row],[Acquire Date]], CagrTable[[#This Row],[Sell Date]])</f>
        <v>46257</v>
      </c>
      <c r="AV32" s="166">
        <f>IF(NOT(CagrTable[[#This Row],[Is Option]]), IF(OR(CagrTable[[#This Row],[Is Long]], CagrTable[[#This Row],[Is DIV]]), CagrTable[[#This Row],[Sell Date]], CagrTable[[#This Row],[Acquire Date]]), "")</f>
        <v>46196</v>
      </c>
      <c r="AW32" s="166" t="str">
        <f>IF(AND(CagrTable[[#This Row],[Is Option]], CagrTable[[#This Row],[Is Open]]), IF(CagrTable[[#This Row],[Is Long Call]], CagrTable[[#This Row],[Exp Date]], MIN(MockToday, CagrTable[[#This Row],[Exp Date]])), "")</f>
        <v/>
      </c>
      <c r="AX32" s="166" t="str">
        <f>IF(AND(CagrTable[[#This Row],[Is Option]], NOT(CagrTable[[#This Row],[Is Open]])), IF(CagrTable[[#This Row],[Is Long]], CagrTable[[#This Row],[Sell Date]], CagrTable[[#This Row],[Acquire Date]]), "")</f>
        <v/>
      </c>
      <c r="AY32" s="166" cm="1">
        <f t="array" ref="AY32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46196</v>
      </c>
      <c r="AZ32" s="80" t="b">
        <f>IF(AND(CagrTable[[#This Row],[Visible]], CagrTable[[#This Row],[Is Open]]), OR(CagrTable[[#This Row],[Is Long]], AND(CagrTable[[#This Row],[Is Short]], CagrTable[[#This Row],[Is Naked Call]])), FALSE)</f>
        <v>0</v>
      </c>
      <c r="BA32" s="80" t="b">
        <f>AND(CagrTable[[#This Row],[Visible]], OR(NOT(CagrTable[[#This Row],[Is PLUG]]), CagrTable[[#This Row],[Plug Type]] = "MTM"))</f>
        <v>0</v>
      </c>
      <c r="BB32" s="80" t="b">
        <f>AND(CagrTable[[#This Row],[Visible]],NOT(CagrTable[[#This Row],[Is Open]]),NOT(CagrTable[[#This Row],[Plug Type]] = "MC"),CagrTable[[#This Row],[Position]]&lt;&gt;"DIV")</f>
        <v>0</v>
      </c>
      <c r="BC32" s="193">
        <f>IF(AND(CagrTable[[#This Row],[Visible]], CagrTable[[#This Row],[Plug Type]] = "MC"), CagrTable[[#This Row],[Basis]], 0)</f>
        <v>0</v>
      </c>
      <c r="BD32" s="182">
        <f>IF(CagrTable[[#This Row],[Is PLUG]], 0, CagrTable[[#This Row],[Proceeds]] - CagrTable[[#This Row],[Basis]])</f>
        <v>0</v>
      </c>
      <c r="BE32" s="180">
        <f>IF(AND(OR(CagrTable[[#This Row],[Is Short Call]],CagrTable[[#This Row],[Is Short Put]])), CagrTable[[#This Row],[Proceeds]], 0)</f>
        <v>0</v>
      </c>
      <c r="BF32" s="180">
        <f>IF(AND(OR(CagrTable[[#This Row],[Is Short Call]],CagrTable[[#This Row],[Is Short Put]])), CagrTable[[#This Row],[Basis]], 0)</f>
        <v>0</v>
      </c>
      <c r="BG32" s="173">
        <f>IF(CagrTable[[#This Row],[Covered Short Share Equivalent]] &gt; 0,-1 * CagrTable[[#This Row],[Premium Input]] / CagrTable[[#This Row],[Covered Short Share Equivalent]], 0)</f>
        <v>0</v>
      </c>
      <c r="BH32" s="173">
        <f>IF(CagrTable[[#This Row],[Covered Short Share Equivalent]] &gt; 0, CagrTable[[#This Row],[Premium Offset Input]] / CagrTable[[#This Row],[Covered Short Share Equivalent]], 0)</f>
        <v>0</v>
      </c>
      <c r="BI32" s="173">
        <f>SUM(CagrTable[[#This Row],[Premium ACB]:[Premium Offset ACB]])</f>
        <v>0</v>
      </c>
      <c r="BJ32" s="173">
        <f>IF(CagrTable[[#This Row],[Is Naked Short]],-1 * CagrTable[[#This Row],[Strike Price]] - (CagrTable[[#This Row],[Proceeds]] / CagrTable[[#This Row],[Naked Short Share Equivalent]]), 0)</f>
        <v>0</v>
      </c>
      <c r="BK32" s="173">
        <f>IF(CagrTable[[#This Row],[Is Short Put]], CagrTable[[#This Row],[Strike Price]] + CagrTable[[#This Row],[Net Short Premium ACB]], 0)</f>
        <v>0</v>
      </c>
      <c r="BL32" s="173">
        <f>IF(AND(CagrTable[[#This Row],[Is Long Call]], NOT(CagrTable[[#This Row],[Is PLUG]])), -1 * CagrTable[[#This Row],[P&amp;L]]/(CagrTable[[#This Row],[Qty]] * 100), 0)</f>
        <v>0</v>
      </c>
      <c r="BM32" s="173">
        <f>IF(AND(NOT(CagrTable[[#This Row],[Is Option]]), NOT(CagrTable[[#This Row],[Is PLUG]]), OR(CagrTable[[#This Row],[Is Open]], CagrTable[[#This Row],[Is DIV]]), N(CagrTable[[#This Row],[Qty]])&lt;&gt;0), -CagrTable[[#This Row],[P&amp;L]]/CagrTable[[#This Row],[Qty]], 0)</f>
        <v>0</v>
      </c>
      <c r="BN32" s="173" t="b">
        <f>AND(_Total_ACB_Shares&lt;&gt;0, NOT(CagrTable[[#This Row],[Is PLUG]]))</f>
        <v>0</v>
      </c>
      <c r="BO32" s="173">
        <f>IF(OR(_Total_ACB_Shares=0, CagrTable[[#This Row],[Is PLUG]]), 0, (CagrTable[[#This Row],[ACB]] * CagrTable[[#This Row],[Qty]] * IF(CagrTable[[#This Row],[Is Option]], 100, 1))/ _Total_ACB_Shares)</f>
        <v>0</v>
      </c>
      <c r="BP32" s="184">
        <f t="shared" si="1"/>
        <v>1</v>
      </c>
      <c r="BQ32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0</v>
      </c>
      <c r="BR32" s="174">
        <f>CagrTable[[#This Row],[Prelim Weighted ACB]] * CagrTable[[#This Row],[ACB Sign]]</f>
        <v>0</v>
      </c>
      <c r="BS32" s="62">
        <f>CagrTable[[#This Row],[Proceeds]] - CagrTable[[#This Row],[Basis]]</f>
        <v>57680</v>
      </c>
      <c r="BT32" s="91" t="s">
        <v>100</v>
      </c>
      <c r="BU32" s="63"/>
      <c r="BV32" s="63"/>
      <c r="BW32" s="63"/>
      <c r="BX32" s="27"/>
      <c r="BY32" s="58"/>
      <c r="BZ32" s="58"/>
      <c r="CA32" s="100"/>
      <c r="CB32" s="58"/>
      <c r="CC32" s="58"/>
      <c r="CD32" s="65"/>
      <c r="CE32" s="83"/>
      <c r="CF32" s="66"/>
      <c r="CG32" s="58"/>
      <c r="CH32" s="66"/>
      <c r="CI32" s="66"/>
      <c r="CJ32" s="66"/>
      <c r="CK32" s="58"/>
      <c r="CL32" s="58"/>
      <c r="CM32" s="64"/>
      <c r="CN32" s="58"/>
      <c r="CO32" s="58"/>
      <c r="CP32" s="67"/>
      <c r="CQ32" s="82"/>
      <c r="CR32" s="58"/>
      <c r="CS32" s="58"/>
      <c r="CT32" s="66"/>
      <c r="CU32" s="73"/>
      <c r="CV32" s="181" t="s">
        <v>374</v>
      </c>
      <c r="DC32" s="19"/>
      <c r="DL32" s="13"/>
    </row>
    <row r="33" spans="1:116" ht="12.75" hidden="1" customHeight="1">
      <c r="A33" s="69" t="s">
        <v>368</v>
      </c>
      <c r="B33" s="189" t="s">
        <v>100</v>
      </c>
      <c r="C33" s="88">
        <v>1000</v>
      </c>
      <c r="D33" s="70">
        <v>1</v>
      </c>
      <c r="E33" s="1" t="str">
        <f>CONCATENATE(CagrTable[[#This Row],[Symbol]], CagrTable[[#This Row],[ID]])</f>
        <v>DRAM1</v>
      </c>
      <c r="F33" s="55"/>
      <c r="G33" s="56">
        <v>46213</v>
      </c>
      <c r="H33" s="58"/>
      <c r="I33" s="57">
        <f>IF(ISNUMBER(CagrTable[[#This Row],[Qty]]),CagrTable[[#This Row],[Basis]] /CagrTable[[#This Row],[Qty]], "")</f>
        <v>0</v>
      </c>
      <c r="J33" s="56">
        <v>46262</v>
      </c>
      <c r="K33" s="58">
        <v>0</v>
      </c>
      <c r="L33" s="78">
        <f>IF(ISNUMBER(CagrTable[[#This Row],[Qty]]),CagrTable[[#This Row],[Proceeds]] / CagrTable[[#This Row],[Qty]], "")</f>
        <v>0</v>
      </c>
      <c r="M33" s="77">
        <f>IF(CagrTable[[#This Row],[Is Open]], CagrTable[[#This Row],[Date Opened]], CagrTable[[#This Row],[Date Closed]])</f>
        <v>46262</v>
      </c>
      <c r="N33" s="101" t="s">
        <v>247</v>
      </c>
      <c r="O33"/>
      <c r="P33" s="177"/>
      <c r="Q33" s="176"/>
      <c r="R33" s="71">
        <f>IF(CagrTable[[#This Row],[Sell Date]]=CagrTable[[#This Row],[Acquire Date]], 1, ABS(CagrTable[[#This Row],[Sell Date]] - CagrTable[[#This Row],[Acquire Date]]))</f>
        <v>49</v>
      </c>
      <c r="S33" s="72">
        <f>CagrTable[[#This Row],[Days Held]] / 30</f>
        <v>1.6333333333333333</v>
      </c>
      <c r="T33" s="178"/>
      <c r="U33" s="179"/>
      <c r="V33" s="158">
        <v>46205.729166666664</v>
      </c>
      <c r="W33" s="60">
        <v>60</v>
      </c>
      <c r="X33" s="75"/>
      <c r="Y33" s="61" t="s">
        <v>383</v>
      </c>
      <c r="Z33" s="85" t="str">
        <f>IF(OR(CagrTable[[#This Row],[Is Closed]]="", CagrTable[[#This Row],[Is Closed]]="H"),"Y","")</f>
        <v>Y</v>
      </c>
      <c r="AA33" s="85" t="str">
        <f>IF(OR(CagrTable[[#This Row],[Position]]="LNG",CagrTable[[#This Row],[Position]]="SHRT"),"Equity","Option")</f>
        <v>Option</v>
      </c>
      <c r="AB33" s="84" t="str">
        <f>IF(CagrTable[[#This Row],[Pricing Update Included]]="Y",IF(CagrTable[[#This Row],[Pricing Update Asset]]="Equity",CagrTable[[#This Row],[Symbol]],CagrTable[[#This Row],[Option Symbol]]),"")</f>
        <v>DRAM260702P00060000</v>
      </c>
      <c r="AC33" s="80">
        <f>SUBTOTAL(103,CagrTable[[#This Row],[Symbol]])</f>
        <v>0</v>
      </c>
      <c r="AD33" s="80" t="b">
        <f>LEFT(CagrTable[[#This Row],[Position]],1)="L"</f>
        <v>0</v>
      </c>
      <c r="AE33" s="80" t="b">
        <f>LEFT(CagrTable[[#This Row],[Position]],1)="S"</f>
        <v>0</v>
      </c>
      <c r="AF33" s="80" t="b">
        <f>(CagrTable[[#This Row],[Position]] = "DIV")</f>
        <v>0</v>
      </c>
      <c r="AG33" s="80" t="b">
        <f>CagrTable[[#This Row],[Position]] = "PLUG"</f>
        <v>1</v>
      </c>
      <c r="AH33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1</v>
      </c>
      <c r="AI33" s="80" t="b">
        <f>CagrTable[[#This Row],[Is Closed]] &lt;&gt; "Y"</f>
        <v>1</v>
      </c>
      <c r="AJ33" s="84" t="b">
        <f>OR(CagrTable[[#This Row],[Option Type]]&lt;&gt;"",
  CagrTable[[#This Row],[Position]]="LC", CagrTable[[#This Row],[Position]]="SC",
  CagrTable[[#This Row],[Position]]="LP",CagrTable[[#This Row],[Position]]="SP"
)</f>
        <v>0</v>
      </c>
      <c r="AK33" s="84" t="b">
        <f>AND(CagrTable[[#This Row],[Option Type]] = "C", CagrTable[[#This Row],[Is Short]])</f>
        <v>0</v>
      </c>
      <c r="AL33" s="84" t="b">
        <f>AND(CagrTable[[#This Row],[Is Short Call]],CagrTable[[#This Row],[Is Naked Call]] = TRUE)</f>
        <v>0</v>
      </c>
      <c r="AM33" s="84" t="b">
        <f>AND(CagrTable[[#This Row],[Option Type]] = "P", CagrTable[[#This Row],[Is Short]])</f>
        <v>0</v>
      </c>
      <c r="AN33" s="84" t="b">
        <f>CagrTable[[#This Row],[Position]]= "LC"</f>
        <v>0</v>
      </c>
      <c r="AO33" s="169">
        <f>IF(AND(CagrTable[[#This Row],[Is Long]], NOT(CagrTable[[#This Row],[Position]]="LP")), CagrTable[[#This Row],[Qty]] * IF(CagrTable[[#This Row],[Is Option]], 100, 1), 0)</f>
        <v>0</v>
      </c>
      <c r="AP33" s="169">
        <f>IF(CagrTable[[#This Row],[Is Naked Short]], CagrTable[[#This Row],[Qty]] * -100, 0)</f>
        <v>0</v>
      </c>
      <c r="AQ33" s="169">
        <f>IF(CagrTable[[#This Row],[Is ACB Put]], CagrTable[[#This Row],[Qty]] * -100, 0)</f>
        <v>0</v>
      </c>
      <c r="AR33" s="169">
        <f>IF(AND(CagrTable[[#This Row],[Is Short]], NOT(CagrTable[[#This Row],[Is Naked Short]])), CagrTable[[#This Row],[Qty]] * IF(CagrTable[[#This Row],[Is Option]], 100, 1), 0)</f>
        <v>0</v>
      </c>
      <c r="AS33" s="169">
        <f>SUM(CagrTable[[#This Row],[Long Share Equivalent]:[Covered Short Share Equivalent]])</f>
        <v>0</v>
      </c>
      <c r="AT33" s="169">
        <f>IF(CagrTable[[#This Row],[Is Open]], SUM(CagrTable[[#This Row],[Long Share Equivalent]:[ACB Put Share Equivalent]]), 0)</f>
        <v>0</v>
      </c>
      <c r="AU33" s="166">
        <f>IF(OR(CagrTable[[#This Row],[Is Long]], CagrTable[[#This Row],[Is DIV]]), CagrTable[[#This Row],[Acquire Date]], CagrTable[[#This Row],[Sell Date]])</f>
        <v>46262</v>
      </c>
      <c r="AV33" s="166">
        <f>IF(NOT(CagrTable[[#This Row],[Is Option]]), IF(OR(CagrTable[[#This Row],[Is Long]], CagrTable[[#This Row],[Is DIV]]), CagrTable[[#This Row],[Sell Date]], CagrTable[[#This Row],[Acquire Date]]), "")</f>
        <v>46213</v>
      </c>
      <c r="AW33" s="166" t="str">
        <f>IF(AND(CagrTable[[#This Row],[Is Option]], CagrTable[[#This Row],[Is Open]]), IF(CagrTable[[#This Row],[Is Long Call]], CagrTable[[#This Row],[Exp Date]], MIN(MockToday, CagrTable[[#This Row],[Exp Date]])), "")</f>
        <v/>
      </c>
      <c r="AX33" s="166" t="str">
        <f>IF(AND(CagrTable[[#This Row],[Is Option]], NOT(CagrTable[[#This Row],[Is Open]])), IF(CagrTable[[#This Row],[Is Long]], CagrTable[[#This Row],[Sell Date]], CagrTable[[#This Row],[Acquire Date]]), "")</f>
        <v/>
      </c>
      <c r="AY33" s="166" cm="1">
        <f t="array" ref="AY33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46213</v>
      </c>
      <c r="AZ33" s="80" t="b">
        <f>IF(AND(CagrTable[[#This Row],[Visible]], CagrTable[[#This Row],[Is Open]]), OR(CagrTable[[#This Row],[Is Long]], AND(CagrTable[[#This Row],[Is Short]], CagrTable[[#This Row],[Is Naked Call]])), FALSE)</f>
        <v>0</v>
      </c>
      <c r="BA33" s="80" t="b">
        <f>AND(CagrTable[[#This Row],[Visible]], OR(NOT(CagrTable[[#This Row],[Is PLUG]]), CagrTable[[#This Row],[Plug Type]] = "MTM"))</f>
        <v>0</v>
      </c>
      <c r="BB33" s="80" t="b">
        <f>AND(CagrTable[[#This Row],[Visible]],NOT(CagrTable[[#This Row],[Is Open]]),NOT(CagrTable[[#This Row],[Plug Type]] = "MC"),CagrTable[[#This Row],[Position]]&lt;&gt;"DIV")</f>
        <v>0</v>
      </c>
      <c r="BC33" s="193">
        <f>IF(AND(CagrTable[[#This Row],[Visible]], CagrTable[[#This Row],[Plug Type]] = "MC"), CagrTable[[#This Row],[Basis]], 0)</f>
        <v>0</v>
      </c>
      <c r="BD33" s="182">
        <f>IF(CagrTable[[#This Row],[Is PLUG]], 0, CagrTable[[#This Row],[Proceeds]] - CagrTable[[#This Row],[Basis]])</f>
        <v>0</v>
      </c>
      <c r="BE33" s="180">
        <f>IF(AND(OR(CagrTable[[#This Row],[Is Short Call]],CagrTable[[#This Row],[Is Short Put]])), CagrTable[[#This Row],[Proceeds]], 0)</f>
        <v>0</v>
      </c>
      <c r="BF33" s="180">
        <f>IF(AND(OR(CagrTable[[#This Row],[Is Short Call]],CagrTable[[#This Row],[Is Short Put]])), CagrTable[[#This Row],[Basis]], 0)</f>
        <v>0</v>
      </c>
      <c r="BG33" s="173">
        <f>IF(CagrTable[[#This Row],[Covered Short Share Equivalent]] &gt; 0,-1 * CagrTable[[#This Row],[Premium Input]] / CagrTable[[#This Row],[Covered Short Share Equivalent]], 0)</f>
        <v>0</v>
      </c>
      <c r="BH33" s="173">
        <f>IF(CagrTable[[#This Row],[Covered Short Share Equivalent]] &gt; 0, CagrTable[[#This Row],[Premium Offset Input]] / CagrTable[[#This Row],[Covered Short Share Equivalent]], 0)</f>
        <v>0</v>
      </c>
      <c r="BI33" s="173">
        <f>SUM(CagrTable[[#This Row],[Premium ACB]:[Premium Offset ACB]])</f>
        <v>0</v>
      </c>
      <c r="BJ33" s="173">
        <f>IF(CagrTable[[#This Row],[Is Naked Short]],-1 * CagrTable[[#This Row],[Strike Price]] - (CagrTable[[#This Row],[Proceeds]] / CagrTable[[#This Row],[Naked Short Share Equivalent]]), 0)</f>
        <v>0</v>
      </c>
      <c r="BK33" s="173">
        <f>IF(CagrTable[[#This Row],[Is Short Put]], CagrTable[[#This Row],[Strike Price]] + CagrTable[[#This Row],[Net Short Premium ACB]], 0)</f>
        <v>0</v>
      </c>
      <c r="BL33" s="173">
        <f>IF(AND(CagrTable[[#This Row],[Is Long Call]], NOT(CagrTable[[#This Row],[Is PLUG]])), -1 * CagrTable[[#This Row],[P&amp;L]]/(CagrTable[[#This Row],[Qty]] * 100), 0)</f>
        <v>0</v>
      </c>
      <c r="BM33" s="173">
        <f>IF(AND(NOT(CagrTable[[#This Row],[Is Option]]), NOT(CagrTable[[#This Row],[Is PLUG]]), OR(CagrTable[[#This Row],[Is Open]], CagrTable[[#This Row],[Is DIV]]), N(CagrTable[[#This Row],[Qty]])&lt;&gt;0), -CagrTable[[#This Row],[P&amp;L]]/CagrTable[[#This Row],[Qty]], 0)</f>
        <v>0</v>
      </c>
      <c r="BN33" s="173" t="b">
        <f>AND(_Total_ACB_Shares&lt;&gt;0, NOT(CagrTable[[#This Row],[Is PLUG]]))</f>
        <v>0</v>
      </c>
      <c r="BO33" s="173">
        <f>IF(OR(_Total_ACB_Shares=0, CagrTable[[#This Row],[Is PLUG]]), 0, (CagrTable[[#This Row],[ACB]] * CagrTable[[#This Row],[Qty]] * IF(CagrTable[[#This Row],[Is Option]], 100, 1))/ _Total_ACB_Shares)</f>
        <v>0</v>
      </c>
      <c r="BP33" s="184">
        <f t="shared" si="1"/>
        <v>1</v>
      </c>
      <c r="BQ33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0</v>
      </c>
      <c r="BR33" s="174">
        <f>CagrTable[[#This Row],[Prelim Weighted ACB]] * CagrTable[[#This Row],[ACB Sign]]</f>
        <v>0</v>
      </c>
      <c r="BS33" s="62">
        <f>CagrTable[[#This Row],[Proceeds]] - CagrTable[[#This Row],[Basis]]</f>
        <v>0</v>
      </c>
      <c r="BT33" s="91" t="s">
        <v>100</v>
      </c>
      <c r="BU33" s="63"/>
      <c r="BV33" s="63"/>
      <c r="BW33" s="63"/>
      <c r="BX33" s="27"/>
      <c r="BY33" s="58"/>
      <c r="BZ33" s="58"/>
      <c r="CA33" s="100"/>
      <c r="CB33" s="58"/>
      <c r="CC33" s="58"/>
      <c r="CD33" s="65"/>
      <c r="CE33" s="83"/>
      <c r="CF33" s="66"/>
      <c r="CG33" s="58"/>
      <c r="CH33" s="66"/>
      <c r="CI33" s="66"/>
      <c r="CJ33" s="66"/>
      <c r="CK33" s="58"/>
      <c r="CL33" s="58"/>
      <c r="CM33" s="64"/>
      <c r="CN33" s="58"/>
      <c r="CO33" s="58"/>
      <c r="CP33" s="67"/>
      <c r="CQ33" s="82"/>
      <c r="CR33" s="58"/>
      <c r="CS33" s="58"/>
      <c r="CT33" s="66"/>
      <c r="CU33" s="73"/>
      <c r="CV33" s="181" t="s">
        <v>427</v>
      </c>
      <c r="DC33" s="19"/>
      <c r="DL33" s="13"/>
    </row>
    <row r="34" spans="1:116" ht="12.75" hidden="1" customHeight="1">
      <c r="A34" s="69" t="s">
        <v>368</v>
      </c>
      <c r="B34" s="189" t="s">
        <v>100</v>
      </c>
      <c r="C34" s="88">
        <v>10</v>
      </c>
      <c r="D34" s="70">
        <v>1</v>
      </c>
      <c r="E34" s="1" t="str">
        <f>CONCATENATE(CagrTable[[#This Row],[Symbol]], CagrTable[[#This Row],[ID]])</f>
        <v>DRAM1</v>
      </c>
      <c r="F34" s="55" t="s">
        <v>61</v>
      </c>
      <c r="G34" s="56">
        <v>46262</v>
      </c>
      <c r="H34" s="58"/>
      <c r="I34" s="57">
        <f>IF(ISNUMBER(CagrTable[[#This Row],[Qty]]),CagrTable[[#This Row],[Basis]] /CagrTable[[#This Row],[Qty]], "")</f>
        <v>0</v>
      </c>
      <c r="J34" s="56">
        <v>46262</v>
      </c>
      <c r="K34" s="58">
        <v>0</v>
      </c>
      <c r="L34" s="78">
        <f>IF(ISNUMBER(CagrTable[[#This Row],[Qty]]),CagrTable[[#This Row],[Proceeds]] / CagrTable[[#This Row],[Qty]], "")</f>
        <v>0</v>
      </c>
      <c r="M34" s="77">
        <f>IF(CagrTable[[#This Row],[Is Open]], CagrTable[[#This Row],[Date Opened]], CagrTable[[#This Row],[Date Closed]])</f>
        <v>46262</v>
      </c>
      <c r="N34" s="101" t="s">
        <v>248</v>
      </c>
      <c r="O34"/>
      <c r="P34" s="177"/>
      <c r="Q34" s="176"/>
      <c r="R34" s="71">
        <f>IF(CagrTable[[#This Row],[Sell Date]]=CagrTable[[#This Row],[Acquire Date]], 1, ABS(CagrTable[[#This Row],[Sell Date]] - CagrTable[[#This Row],[Acquire Date]]))</f>
        <v>1</v>
      </c>
      <c r="S34" s="59">
        <f>CagrTable[[#This Row],[Days Held]] / 30</f>
        <v>3.3333333333333333E-2</v>
      </c>
      <c r="T34" s="178"/>
      <c r="U34" s="179"/>
      <c r="V34" s="158">
        <v>46255.729166666664</v>
      </c>
      <c r="W34" s="60">
        <v>53.5</v>
      </c>
      <c r="X34" s="75"/>
      <c r="Y34" s="61" t="s">
        <v>455</v>
      </c>
      <c r="Z34" s="85" t="str">
        <f>IF(OR(CagrTable[[#This Row],[Is Closed]]="", CagrTable[[#This Row],[Is Closed]]="H"),"Y","")</f>
        <v/>
      </c>
      <c r="AA34" s="85" t="str">
        <f>IF(OR(CagrTable[[#This Row],[Position]]="LNG",CagrTable[[#This Row],[Position]]="SHRT"),"Equity","Option")</f>
        <v>Option</v>
      </c>
      <c r="AB34" s="84" t="str">
        <f>IF(CagrTable[[#This Row],[Pricing Update Included]]="Y",IF(CagrTable[[#This Row],[Pricing Update Asset]]="Equity",CagrTable[[#This Row],[Symbol]],CagrTable[[#This Row],[Option Symbol]]),"")</f>
        <v/>
      </c>
      <c r="AC34" s="80">
        <f>SUBTOTAL(103,CagrTable[[#This Row],[Symbol]])</f>
        <v>0</v>
      </c>
      <c r="AD34" s="80" t="b">
        <f>LEFT(CagrTable[[#This Row],[Position]],1)="L"</f>
        <v>0</v>
      </c>
      <c r="AE34" s="80" t="b">
        <f>LEFT(CagrTable[[#This Row],[Position]],1)="S"</f>
        <v>0</v>
      </c>
      <c r="AF34" s="80" t="b">
        <f>(CagrTable[[#This Row],[Position]] = "DIV")</f>
        <v>0</v>
      </c>
      <c r="AG34" s="80" t="b">
        <f>CagrTable[[#This Row],[Position]] = "PLUG"</f>
        <v>1</v>
      </c>
      <c r="AH34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1</v>
      </c>
      <c r="AI34" s="80" t="b">
        <f>CagrTable[[#This Row],[Is Closed]] &lt;&gt; "Y"</f>
        <v>0</v>
      </c>
      <c r="AJ34" s="84" t="b">
        <f>OR(CagrTable[[#This Row],[Option Type]]&lt;&gt;"",
  CagrTable[[#This Row],[Position]]="LC", CagrTable[[#This Row],[Position]]="SC",
  CagrTable[[#This Row],[Position]]="LP",CagrTable[[#This Row],[Position]]="SP"
)</f>
        <v>0</v>
      </c>
      <c r="AK34" s="84" t="b">
        <f>AND(CagrTable[[#This Row],[Option Type]] = "C", CagrTable[[#This Row],[Is Short]])</f>
        <v>0</v>
      </c>
      <c r="AL34" s="84" t="b">
        <f>AND(CagrTable[[#This Row],[Is Short Call]],CagrTable[[#This Row],[Is Naked Call]] = TRUE)</f>
        <v>0</v>
      </c>
      <c r="AM34" s="84" t="b">
        <f>AND(CagrTable[[#This Row],[Option Type]] = "P", CagrTable[[#This Row],[Is Short]])</f>
        <v>0</v>
      </c>
      <c r="AN34" s="84" t="b">
        <f>CagrTable[[#This Row],[Position]]= "LC"</f>
        <v>0</v>
      </c>
      <c r="AO34" s="169">
        <f>IF(AND(CagrTable[[#This Row],[Is Long]], NOT(CagrTable[[#This Row],[Position]]="LP")), CagrTable[[#This Row],[Qty]] * IF(CagrTable[[#This Row],[Is Option]], 100, 1), 0)</f>
        <v>0</v>
      </c>
      <c r="AP34" s="169">
        <f>IF(CagrTable[[#This Row],[Is Naked Short]], CagrTable[[#This Row],[Qty]] * -100, 0)</f>
        <v>0</v>
      </c>
      <c r="AQ34" s="169">
        <f>IF(CagrTable[[#This Row],[Is ACB Put]], CagrTable[[#This Row],[Qty]] * -100, 0)</f>
        <v>0</v>
      </c>
      <c r="AR34" s="169">
        <f>IF(AND(CagrTable[[#This Row],[Is Short]], NOT(CagrTable[[#This Row],[Is Naked Short]])), CagrTable[[#This Row],[Qty]] * IF(CagrTable[[#This Row],[Is Option]], 100, 1), 0)</f>
        <v>0</v>
      </c>
      <c r="AS34" s="169">
        <f>SUM(CagrTable[[#This Row],[Long Share Equivalent]:[Covered Short Share Equivalent]])</f>
        <v>0</v>
      </c>
      <c r="AT34" s="169">
        <f>IF(CagrTable[[#This Row],[Is Open]], SUM(CagrTable[[#This Row],[Long Share Equivalent]:[ACB Put Share Equivalent]]), 0)</f>
        <v>0</v>
      </c>
      <c r="AU34" s="166">
        <f>IF(OR(CagrTable[[#This Row],[Is Long]], CagrTable[[#This Row],[Is DIV]]), CagrTable[[#This Row],[Acquire Date]], CagrTable[[#This Row],[Sell Date]])</f>
        <v>46262</v>
      </c>
      <c r="AV34" s="166">
        <f>IF(NOT(CagrTable[[#This Row],[Is Option]]), IF(OR(CagrTable[[#This Row],[Is Long]], CagrTable[[#This Row],[Is DIV]]), CagrTable[[#This Row],[Sell Date]], CagrTable[[#This Row],[Acquire Date]]), "")</f>
        <v>46262</v>
      </c>
      <c r="AW34" s="166" t="str">
        <f>IF(AND(CagrTable[[#This Row],[Is Option]], CagrTable[[#This Row],[Is Open]]), IF(CagrTable[[#This Row],[Is Long Call]], CagrTable[[#This Row],[Exp Date]], MIN(MockToday, CagrTable[[#This Row],[Exp Date]])), "")</f>
        <v/>
      </c>
      <c r="AX34" s="166" t="str">
        <f>IF(AND(CagrTable[[#This Row],[Is Option]], NOT(CagrTable[[#This Row],[Is Open]])), IF(CagrTable[[#This Row],[Is Long]], CagrTable[[#This Row],[Sell Date]], CagrTable[[#This Row],[Acquire Date]]), "")</f>
        <v/>
      </c>
      <c r="AY34" s="166" cm="1">
        <f t="array" ref="AY34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46262</v>
      </c>
      <c r="AZ34" s="80" t="b">
        <f>IF(AND(CagrTable[[#This Row],[Visible]], CagrTable[[#This Row],[Is Open]]), OR(CagrTable[[#This Row],[Is Long]], AND(CagrTable[[#This Row],[Is Short]], CagrTable[[#This Row],[Is Naked Call]])), FALSE)</f>
        <v>0</v>
      </c>
      <c r="BA34" s="80" t="b">
        <f>AND(CagrTable[[#This Row],[Visible]], OR(NOT(CagrTable[[#This Row],[Is PLUG]]), CagrTable[[#This Row],[Plug Type]] = "MTM"))</f>
        <v>0</v>
      </c>
      <c r="BB34" s="80" t="b">
        <f>AND(CagrTable[[#This Row],[Visible]],NOT(CagrTable[[#This Row],[Is Open]]),NOT(CagrTable[[#This Row],[Plug Type]] = "MC"),CagrTable[[#This Row],[Position]]&lt;&gt;"DIV")</f>
        <v>0</v>
      </c>
      <c r="BC34" s="193">
        <f>IF(AND(CagrTable[[#This Row],[Visible]], CagrTable[[#This Row],[Plug Type]] = "MC"), CagrTable[[#This Row],[Basis]], 0)</f>
        <v>0</v>
      </c>
      <c r="BD34" s="182">
        <f>IF(CagrTable[[#This Row],[Is PLUG]], 0, CagrTable[[#This Row],[Proceeds]] - CagrTable[[#This Row],[Basis]])</f>
        <v>0</v>
      </c>
      <c r="BE34" s="180">
        <f>IF(AND(OR(CagrTable[[#This Row],[Is Short Call]],CagrTable[[#This Row],[Is Short Put]])), CagrTable[[#This Row],[Proceeds]], 0)</f>
        <v>0</v>
      </c>
      <c r="BF34" s="180">
        <f>IF(AND(OR(CagrTable[[#This Row],[Is Short Call]],CagrTable[[#This Row],[Is Short Put]])), CagrTable[[#This Row],[Basis]], 0)</f>
        <v>0</v>
      </c>
      <c r="BG34" s="173">
        <f>IF(CagrTable[[#This Row],[Covered Short Share Equivalent]] &gt; 0,-1 * CagrTable[[#This Row],[Premium Input]] / CagrTable[[#This Row],[Covered Short Share Equivalent]], 0)</f>
        <v>0</v>
      </c>
      <c r="BH34" s="173">
        <f>IF(CagrTable[[#This Row],[Covered Short Share Equivalent]] &gt; 0, CagrTable[[#This Row],[Premium Offset Input]] / CagrTable[[#This Row],[Covered Short Share Equivalent]], 0)</f>
        <v>0</v>
      </c>
      <c r="BI34" s="173">
        <f>SUM(CagrTable[[#This Row],[Premium ACB]:[Premium Offset ACB]])</f>
        <v>0</v>
      </c>
      <c r="BJ34" s="173">
        <f>IF(CagrTable[[#This Row],[Is Naked Short]],-1 * CagrTable[[#This Row],[Strike Price]] - (CagrTable[[#This Row],[Proceeds]] / CagrTable[[#This Row],[Naked Short Share Equivalent]]), 0)</f>
        <v>0</v>
      </c>
      <c r="BK34" s="173">
        <f>IF(CagrTable[[#This Row],[Is Short Put]], CagrTable[[#This Row],[Strike Price]] + CagrTable[[#This Row],[Net Short Premium ACB]], 0)</f>
        <v>0</v>
      </c>
      <c r="BL34" s="173">
        <f>IF(AND(CagrTable[[#This Row],[Is Long Call]], NOT(CagrTable[[#This Row],[Is PLUG]])), -1 * CagrTable[[#This Row],[P&amp;L]]/(CagrTable[[#This Row],[Qty]] * 100), 0)</f>
        <v>0</v>
      </c>
      <c r="BM34" s="173">
        <f>IF(AND(NOT(CagrTable[[#This Row],[Is Option]]), NOT(CagrTable[[#This Row],[Is PLUG]]), CagrTable[[#This Row],[Is Open]]), -CagrTable[[#This Row],[P&amp;L]]/CagrTable[[#This Row],[Qty]], 0)</f>
        <v>0</v>
      </c>
      <c r="BN34" s="173" t="b">
        <f>AND(_Total_ACB_Shares&lt;&gt;0, NOT(CagrTable[[#This Row],[Is PLUG]]))</f>
        <v>0</v>
      </c>
      <c r="BO34" s="173">
        <f>IF(OR(_Total_ACB_Shares=0, CagrTable[[#This Row],[Is PLUG]]), 0, (CagrTable[[#This Row],[ACB]] * CagrTable[[#This Row],[Qty]] * IF(CagrTable[[#This Row],[Is Option]], 100, 1))/ _Total_ACB_Shares)</f>
        <v>0</v>
      </c>
      <c r="BP34" s="184">
        <f t="shared" si="1"/>
        <v>1</v>
      </c>
      <c r="BQ34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0</v>
      </c>
      <c r="BR34" s="174">
        <f>CagrTable[[#This Row],[Prelim Weighted ACB]] * CagrTable[[#This Row],[ACB Sign]]</f>
        <v>0</v>
      </c>
      <c r="BS34" s="62">
        <f>CagrTable[[#This Row],[Proceeds]] - CagrTable[[#This Row],[Basis]]</f>
        <v>0</v>
      </c>
      <c r="BT34" s="91" t="s">
        <v>100</v>
      </c>
      <c r="BU34" s="63"/>
      <c r="BV34" s="63"/>
      <c r="BW34" s="63"/>
      <c r="BX34" s="27"/>
      <c r="BY34" s="58"/>
      <c r="BZ34" s="58"/>
      <c r="CA34" s="100"/>
      <c r="CB34" s="58"/>
      <c r="CC34" s="58"/>
      <c r="CD34" s="65"/>
      <c r="CE34" s="82"/>
      <c r="CF34" s="66"/>
      <c r="CG34" s="58"/>
      <c r="CH34" s="66"/>
      <c r="CI34" s="66"/>
      <c r="CJ34" s="66"/>
      <c r="CK34" s="58"/>
      <c r="CL34" s="58"/>
      <c r="CM34" s="64"/>
      <c r="CN34" s="58"/>
      <c r="CO34" s="58"/>
      <c r="CP34" s="67"/>
      <c r="CQ34" s="82"/>
      <c r="CR34" s="58"/>
      <c r="CS34" s="58"/>
      <c r="CT34" s="66"/>
      <c r="CU34" s="68"/>
      <c r="CV34" s="181"/>
      <c r="DC34" s="19"/>
      <c r="DL34" s="13"/>
    </row>
    <row r="35" spans="1:116" ht="12.75" hidden="1" customHeight="1">
      <c r="A35" s="69" t="s">
        <v>97</v>
      </c>
      <c r="B35" s="189" t="s">
        <v>77</v>
      </c>
      <c r="C35" s="88">
        <v>2</v>
      </c>
      <c r="D35" s="70">
        <v>20</v>
      </c>
      <c r="E35" s="1" t="str">
        <f>CONCATENATE(CagrTable[[#This Row],[Symbol]], CagrTable[[#This Row],[ID]])</f>
        <v>FCX20</v>
      </c>
      <c r="F35" s="55"/>
      <c r="G35" s="56">
        <v>46087.506909722222</v>
      </c>
      <c r="H35" s="58">
        <v>3351.35</v>
      </c>
      <c r="I35" s="57">
        <f>IF(ISNUMBER(CagrTable[[#This Row],[Qty]]),CagrTable[[#This Row],[Basis]] /CagrTable[[#This Row],[Qty]], "")</f>
        <v>1675.675</v>
      </c>
      <c r="J35" s="56">
        <v>46773.729166666664</v>
      </c>
      <c r="K35" s="58">
        <v>0</v>
      </c>
      <c r="L35" s="78">
        <f>IF(ISNUMBER(CagrTable[[#This Row],[Qty]]),CagrTable[[#This Row],[Proceeds]] / CagrTable[[#This Row],[Qty]], "")</f>
        <v>0</v>
      </c>
      <c r="M35" s="77">
        <f>IF(CagrTable[[#This Row],[Is Open]], CagrTable[[#This Row],[Date Opened]], CagrTable[[#This Row],[Date Closed]])</f>
        <v>46087.506909722222</v>
      </c>
      <c r="N35" s="101"/>
      <c r="O35"/>
      <c r="P35" s="177"/>
      <c r="Q35" s="176"/>
      <c r="R35" s="71">
        <f>IF(CagrTable[[#This Row],[Sell Date]]=CagrTable[[#This Row],[Acquire Date]], 1, ABS(CagrTable[[#This Row],[Sell Date]] - CagrTable[[#This Row],[Acquire Date]]))</f>
        <v>686.22225694444205</v>
      </c>
      <c r="S35" s="72">
        <f>CagrTable[[#This Row],[Days Held]] / 30</f>
        <v>22.874075231481402</v>
      </c>
      <c r="T35" s="178">
        <v>1.35</v>
      </c>
      <c r="U35" s="179"/>
      <c r="V35" s="158">
        <v>46773.729166666664</v>
      </c>
      <c r="W35" s="60">
        <v>60</v>
      </c>
      <c r="X35" s="75" t="s">
        <v>68</v>
      </c>
      <c r="Y35" s="61" t="s">
        <v>294</v>
      </c>
      <c r="Z35" s="85" t="str">
        <f>IF(OR(CagrTable[[#This Row],[Is Closed]]="", CagrTable[[#This Row],[Is Closed]]="H"),"Y","")</f>
        <v>Y</v>
      </c>
      <c r="AA35" s="85" t="str">
        <f>IF(OR(CagrTable[[#This Row],[Position]]="LNG",CagrTable[[#This Row],[Position]]="SHRT"),"Equity","Option")</f>
        <v>Option</v>
      </c>
      <c r="AB35" s="84" t="str">
        <f>IF(CagrTable[[#This Row],[Pricing Update Included]]="Y",IF(CagrTable[[#This Row],[Pricing Update Asset]]="Equity",CagrTable[[#This Row],[Symbol]],CagrTable[[#This Row],[Option Symbol]]),"")</f>
        <v>FCX280121C00060000</v>
      </c>
      <c r="AC35" s="80">
        <f>SUBTOTAL(103,CagrTable[[#This Row],[Symbol]])</f>
        <v>0</v>
      </c>
      <c r="AD35" s="80" t="b">
        <f>LEFT(CagrTable[[#This Row],[Position]],1)="L"</f>
        <v>1</v>
      </c>
      <c r="AE35" s="80" t="b">
        <f>LEFT(CagrTable[[#This Row],[Position]],1)="S"</f>
        <v>0</v>
      </c>
      <c r="AF35" s="80" t="b">
        <f>(CagrTable[[#This Row],[Position]] = "DIV")</f>
        <v>0</v>
      </c>
      <c r="AG35" s="80" t="b">
        <f>CagrTable[[#This Row],[Position]] = "PLUG"</f>
        <v>0</v>
      </c>
      <c r="AH35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0</v>
      </c>
      <c r="AI35" s="80" t="b">
        <f>CagrTable[[#This Row],[Is Closed]] &lt;&gt; "Y"</f>
        <v>1</v>
      </c>
      <c r="AJ35" s="84" t="b">
        <f>OR(CagrTable[[#This Row],[Option Type]]&lt;&gt;"",
  CagrTable[[#This Row],[Position]]="LC", CagrTable[[#This Row],[Position]]="SC",
  CagrTable[[#This Row],[Position]]="LP",CagrTable[[#This Row],[Position]]="SP"
)</f>
        <v>1</v>
      </c>
      <c r="AK35" s="84" t="b">
        <f>AND(CagrTable[[#This Row],[Option Type]] = "C", CagrTable[[#This Row],[Is Short]])</f>
        <v>0</v>
      </c>
      <c r="AL35" s="84" t="b">
        <f>AND(CagrTable[[#This Row],[Is Short Call]],CagrTable[[#This Row],[Is Naked Call]] = TRUE)</f>
        <v>0</v>
      </c>
      <c r="AM35" s="84" t="b">
        <f>AND(CagrTable[[#This Row],[Option Type]] = "P", CagrTable[[#This Row],[Is Short]])</f>
        <v>0</v>
      </c>
      <c r="AN35" s="84" t="b">
        <f>CagrTable[[#This Row],[Position]]= "LC"</f>
        <v>1</v>
      </c>
      <c r="AO35" s="169">
        <f>IF(AND(CagrTable[[#This Row],[Is Long]], NOT(CagrTable[[#This Row],[Position]]="LP")), CagrTable[[#This Row],[Qty]] * IF(CagrTable[[#This Row],[Is Option]], 100, 1), 0)</f>
        <v>200</v>
      </c>
      <c r="AP35" s="169">
        <f>IF(CagrTable[[#This Row],[Is Naked Short]], CagrTable[[#This Row],[Qty]] * -100, 0)</f>
        <v>0</v>
      </c>
      <c r="AQ35" s="169">
        <f>IF(CagrTable[[#This Row],[Is ACB Put]], CagrTable[[#This Row],[Qty]] * -100, 0)</f>
        <v>0</v>
      </c>
      <c r="AR35" s="169">
        <f>IF(AND(CagrTable[[#This Row],[Is Short]], NOT(CagrTable[[#This Row],[Is Naked Short]])), CagrTable[[#This Row],[Qty]] * IF(CagrTable[[#This Row],[Is Option]], 100, 1), 0)</f>
        <v>0</v>
      </c>
      <c r="AS35" s="169">
        <f>SUM(CagrTable[[#This Row],[Long Share Equivalent]:[Covered Short Share Equivalent]])</f>
        <v>200</v>
      </c>
      <c r="AT35" s="169">
        <f>IF(CagrTable[[#This Row],[Is Open]], SUM(CagrTable[[#This Row],[Long Share Equivalent]:[ACB Put Share Equivalent]]), 0)</f>
        <v>200</v>
      </c>
      <c r="AU35" s="166">
        <f>IF(OR(CagrTable[[#This Row],[Is Long]], CagrTable[[#This Row],[Is DIV]]), CagrTable[[#This Row],[Acquire Date]], CagrTable[[#This Row],[Sell Date]])</f>
        <v>46087.506909722222</v>
      </c>
      <c r="AV35" s="166" t="str">
        <f>IF(NOT(CagrTable[[#This Row],[Is Option]]), IF(OR(CagrTable[[#This Row],[Is Long]], CagrTable[[#This Row],[Is DIV]]), CagrTable[[#This Row],[Sell Date]], CagrTable[[#This Row],[Acquire Date]]), "")</f>
        <v/>
      </c>
      <c r="AW35" s="166">
        <f>IF(AND(CagrTable[[#This Row],[Is Option]], CagrTable[[#This Row],[Is Open]]), IF(CagrTable[[#This Row],[Is Long Call]], CagrTable[[#This Row],[Exp Date]], MIN(MockToday, CagrTable[[#This Row],[Exp Date]])), "")</f>
        <v>46773.729166666664</v>
      </c>
      <c r="AX35" s="166" t="str">
        <f>IF(AND(CagrTable[[#This Row],[Is Option]], NOT(CagrTable[[#This Row],[Is Open]])), IF(CagrTable[[#This Row],[Is Long]], CagrTable[[#This Row],[Sell Date]], CagrTable[[#This Row],[Acquire Date]]), "")</f>
        <v/>
      </c>
      <c r="AY35" s="166" cm="1">
        <f t="array" ref="AY35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46773.729166666664</v>
      </c>
      <c r="AZ35" s="80" t="b">
        <f>IF(AND(CagrTable[[#This Row],[Visible]], CagrTable[[#This Row],[Is Open]]), OR(CagrTable[[#This Row],[Is Long]], AND(CagrTable[[#This Row],[Is Short]], CagrTable[[#This Row],[Is Naked Call]])), FALSE)</f>
        <v>0</v>
      </c>
      <c r="BA35" s="80" t="b">
        <f>AND(CagrTable[[#This Row],[Visible]], OR(NOT(CagrTable[[#This Row],[Is PLUG]]), CagrTable[[#This Row],[Plug Type]] = "MTM"))</f>
        <v>0</v>
      </c>
      <c r="BB35" s="80" t="b">
        <f>AND(CagrTable[[#This Row],[Visible]],NOT(CagrTable[[#This Row],[Is Open]]),NOT(CagrTable[[#This Row],[Plug Type]] = "MC"),CagrTable[[#This Row],[Position]]&lt;&gt;"DIV")</f>
        <v>0</v>
      </c>
      <c r="BC35" s="193">
        <f>IF(AND(CagrTable[[#This Row],[Visible]], CagrTable[[#This Row],[Plug Type]] = "MC"), CagrTable[[#This Row],[Basis]], 0)</f>
        <v>0</v>
      </c>
      <c r="BD35" s="182">
        <f>IF(CagrTable[[#This Row],[Is PLUG]], 0, CagrTable[[#This Row],[Proceeds]] - CagrTable[[#This Row],[Basis]])</f>
        <v>-3351.35</v>
      </c>
      <c r="BE35" s="180">
        <f>IF(AND(OR(CagrTable[[#This Row],[Is Short Call]],CagrTable[[#This Row],[Is Short Put]])), CagrTable[[#This Row],[Proceeds]], 0)</f>
        <v>0</v>
      </c>
      <c r="BF35" s="180">
        <f>IF(AND(OR(CagrTable[[#This Row],[Is Short Call]],CagrTable[[#This Row],[Is Short Put]])), CagrTable[[#This Row],[Basis]], 0)</f>
        <v>0</v>
      </c>
      <c r="BG35" s="173">
        <f>IF(CagrTable[[#This Row],[Covered Short Share Equivalent]] &gt; 0,-1 * CagrTable[[#This Row],[Premium Input]] / CagrTable[[#This Row],[Covered Short Share Equivalent]], 0)</f>
        <v>0</v>
      </c>
      <c r="BH35" s="173">
        <f>IF(CagrTable[[#This Row],[Covered Short Share Equivalent]] &gt; 0, CagrTable[[#This Row],[Premium Offset Input]] / CagrTable[[#This Row],[Covered Short Share Equivalent]], 0)</f>
        <v>0</v>
      </c>
      <c r="BI35" s="173">
        <f>SUM(CagrTable[[#This Row],[Premium ACB]:[Premium Offset ACB]])</f>
        <v>0</v>
      </c>
      <c r="BJ35" s="173">
        <f>IF(CagrTable[[#This Row],[Is Naked Short]],-1 * CagrTable[[#This Row],[Strike Price]] - (CagrTable[[#This Row],[Proceeds]] / CagrTable[[#This Row],[Naked Short Share Equivalent]]), 0)</f>
        <v>0</v>
      </c>
      <c r="BK35" s="173">
        <f>IF(CagrTable[[#This Row],[Is Short Put]], CagrTable[[#This Row],[Strike Price]] + CagrTable[[#This Row],[Net Short Premium ACB]], 0)</f>
        <v>0</v>
      </c>
      <c r="BL35" s="173">
        <f>IF(AND(CagrTable[[#This Row],[Is Long Call]], NOT(CagrTable[[#This Row],[Is PLUG]])), -1 * CagrTable[[#This Row],[P&amp;L]]/(CagrTable[[#This Row],[Qty]] * 100), 0)</f>
        <v>16.75675</v>
      </c>
      <c r="BM35" s="173">
        <f>IF(AND(NOT(CagrTable[[#This Row],[Is Option]]), NOT(CagrTable[[#This Row],[Is PLUG]]), OR(CagrTable[[#This Row],[Is Open]], CagrTable[[#This Row],[Is DIV]]), N(CagrTable[[#This Row],[Qty]])&lt;&gt;0), -CagrTable[[#This Row],[P&amp;L]]/CagrTable[[#This Row],[Qty]], 0)</f>
        <v>0</v>
      </c>
      <c r="BN35" s="173" t="b">
        <f>AND(_Total_ACB_Shares&lt;&gt;0, NOT(CagrTable[[#This Row],[Is PLUG]]))</f>
        <v>0</v>
      </c>
      <c r="BO35" s="173">
        <f>IF(OR(_Total_ACB_Shares=0, CagrTable[[#This Row],[Is PLUG]]), 0, (CagrTable[[#This Row],[ACB]] * CagrTable[[#This Row],[Qty]] * IF(CagrTable[[#This Row],[Is Option]], 100, 1))/ _Total_ACB_Shares)</f>
        <v>0</v>
      </c>
      <c r="BP35" s="184">
        <f t="shared" ref="BP35:BP47" si="2">IF(_Total_ACB_Shares &lt; 0, -1, 1)</f>
        <v>1</v>
      </c>
      <c r="BQ35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16.75675</v>
      </c>
      <c r="BR35" s="174">
        <f>CagrTable[[#This Row],[Prelim Weighted ACB]] * CagrTable[[#This Row],[ACB Sign]]</f>
        <v>0</v>
      </c>
      <c r="BS35" s="62">
        <f>CagrTable[[#This Row],[Proceeds]] - CagrTable[[#This Row],[Basis]]</f>
        <v>-3351.35</v>
      </c>
      <c r="BT35" s="91" t="s">
        <v>91</v>
      </c>
      <c r="BU35" s="63" t="s">
        <v>62</v>
      </c>
      <c r="BV35" s="63" t="s">
        <v>71</v>
      </c>
      <c r="BW35" s="63"/>
      <c r="BX35" s="27"/>
      <c r="BY35" s="58">
        <v>59.8</v>
      </c>
      <c r="BZ35" s="58">
        <v>16.75</v>
      </c>
      <c r="CA35" s="100">
        <v>46087.506909722222</v>
      </c>
      <c r="CB35" s="58">
        <v>17.13</v>
      </c>
      <c r="CC35" s="58">
        <v>15.85</v>
      </c>
      <c r="CD35" s="65">
        <v>29</v>
      </c>
      <c r="CE35" s="83"/>
      <c r="CF35" s="66" t="s">
        <v>73</v>
      </c>
      <c r="CG35" s="58"/>
      <c r="CH35" s="66" t="s">
        <v>295</v>
      </c>
      <c r="CI35" s="66"/>
      <c r="CJ35" s="66"/>
      <c r="CK35" s="58"/>
      <c r="CL35" s="58"/>
      <c r="CM35" s="64"/>
      <c r="CN35" s="58"/>
      <c r="CO35" s="58"/>
      <c r="CP35" s="67"/>
      <c r="CQ35" s="82"/>
      <c r="CR35" s="58"/>
      <c r="CS35" s="58"/>
      <c r="CT35" s="66"/>
      <c r="CU35" s="73"/>
      <c r="CV35" s="181" t="s">
        <v>296</v>
      </c>
      <c r="DC35" s="19"/>
      <c r="DL35" s="13"/>
    </row>
    <row r="36" spans="1:116" ht="12.75" hidden="1" customHeight="1">
      <c r="A36" s="69" t="s">
        <v>97</v>
      </c>
      <c r="B36" s="189" t="s">
        <v>77</v>
      </c>
      <c r="C36" s="88">
        <v>2</v>
      </c>
      <c r="D36" s="70">
        <v>20</v>
      </c>
      <c r="E36" s="1" t="str">
        <f>CONCATENATE(CagrTable[[#This Row],[Symbol]], CagrTable[[#This Row],[ID]])</f>
        <v>FCX20</v>
      </c>
      <c r="F36" s="55"/>
      <c r="G36" s="56">
        <v>46087.579027777778</v>
      </c>
      <c r="H36" s="58">
        <v>3301.35</v>
      </c>
      <c r="I36" s="57">
        <f>IF(ISNUMBER(CagrTable[[#This Row],[Qty]]),CagrTable[[#This Row],[Basis]] /CagrTable[[#This Row],[Qty]], "")</f>
        <v>1650.675</v>
      </c>
      <c r="J36" s="56">
        <v>46773.729166666664</v>
      </c>
      <c r="K36" s="58">
        <v>0</v>
      </c>
      <c r="L36" s="78">
        <f>IF(ISNUMBER(CagrTable[[#This Row],[Qty]]),CagrTable[[#This Row],[Proceeds]] / CagrTable[[#This Row],[Qty]], "")</f>
        <v>0</v>
      </c>
      <c r="M36" s="77">
        <f>IF(CagrTable[[#This Row],[Is Open]], CagrTable[[#This Row],[Date Opened]], CagrTable[[#This Row],[Date Closed]])</f>
        <v>46087.579027777778</v>
      </c>
      <c r="N36" s="101"/>
      <c r="O36"/>
      <c r="P36" s="177"/>
      <c r="Q36" s="176"/>
      <c r="R36" s="71">
        <f>IF(CagrTable[[#This Row],[Sell Date]]=CagrTable[[#This Row],[Acquire Date]], 1, ABS(CagrTable[[#This Row],[Sell Date]] - CagrTable[[#This Row],[Acquire Date]]))</f>
        <v>686.15013888888643</v>
      </c>
      <c r="S36" s="72">
        <f>CagrTable[[#This Row],[Days Held]] / 30</f>
        <v>22.871671296296213</v>
      </c>
      <c r="T36" s="178">
        <v>1.35</v>
      </c>
      <c r="U36" s="179"/>
      <c r="V36" s="158">
        <v>46773.729166666664</v>
      </c>
      <c r="W36" s="60">
        <v>60</v>
      </c>
      <c r="X36" s="75" t="s">
        <v>68</v>
      </c>
      <c r="Y36" s="61" t="s">
        <v>294</v>
      </c>
      <c r="Z36" s="85" t="str">
        <f>IF(OR(CagrTable[[#This Row],[Is Closed]]="", CagrTable[[#This Row],[Is Closed]]="H"),"Y","")</f>
        <v>Y</v>
      </c>
      <c r="AA36" s="85" t="str">
        <f>IF(OR(CagrTable[[#This Row],[Position]]="LNG",CagrTable[[#This Row],[Position]]="SHRT"),"Equity","Option")</f>
        <v>Option</v>
      </c>
      <c r="AB36" s="84" t="str">
        <f>IF(CagrTable[[#This Row],[Pricing Update Included]]="Y",IF(CagrTable[[#This Row],[Pricing Update Asset]]="Equity",CagrTable[[#This Row],[Symbol]],CagrTable[[#This Row],[Option Symbol]]),"")</f>
        <v>FCX280121C00060000</v>
      </c>
      <c r="AC36" s="80">
        <f>SUBTOTAL(103,CagrTable[[#This Row],[Symbol]])</f>
        <v>0</v>
      </c>
      <c r="AD36" s="80" t="b">
        <f>LEFT(CagrTable[[#This Row],[Position]],1)="L"</f>
        <v>1</v>
      </c>
      <c r="AE36" s="80" t="b">
        <f>LEFT(CagrTable[[#This Row],[Position]],1)="S"</f>
        <v>0</v>
      </c>
      <c r="AF36" s="80" t="b">
        <f>(CagrTable[[#This Row],[Position]] = "DIV")</f>
        <v>0</v>
      </c>
      <c r="AG36" s="80" t="b">
        <f>CagrTable[[#This Row],[Position]] = "PLUG"</f>
        <v>0</v>
      </c>
      <c r="AH36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0</v>
      </c>
      <c r="AI36" s="80" t="b">
        <f>CagrTable[[#This Row],[Is Closed]] &lt;&gt; "Y"</f>
        <v>1</v>
      </c>
      <c r="AJ36" s="84" t="b">
        <f>OR(CagrTable[[#This Row],[Option Type]]&lt;&gt;"",
  CagrTable[[#This Row],[Position]]="LC", CagrTable[[#This Row],[Position]]="SC",
  CagrTable[[#This Row],[Position]]="LP",CagrTable[[#This Row],[Position]]="SP"
)</f>
        <v>1</v>
      </c>
      <c r="AK36" s="84" t="b">
        <f>AND(CagrTable[[#This Row],[Option Type]] = "C", CagrTable[[#This Row],[Is Short]])</f>
        <v>0</v>
      </c>
      <c r="AL36" s="84" t="b">
        <f>AND(CagrTable[[#This Row],[Is Short Call]],CagrTable[[#This Row],[Is Naked Call]] = TRUE)</f>
        <v>0</v>
      </c>
      <c r="AM36" s="84" t="b">
        <f>AND(CagrTable[[#This Row],[Option Type]] = "P", CagrTable[[#This Row],[Is Short]])</f>
        <v>0</v>
      </c>
      <c r="AN36" s="84" t="b">
        <f>CagrTable[[#This Row],[Position]]= "LC"</f>
        <v>1</v>
      </c>
      <c r="AO36" s="169">
        <f>IF(AND(CagrTable[[#This Row],[Is Long]], NOT(CagrTable[[#This Row],[Position]]="LP")), CagrTable[[#This Row],[Qty]] * IF(CagrTable[[#This Row],[Is Option]], 100, 1), 0)</f>
        <v>200</v>
      </c>
      <c r="AP36" s="169">
        <f>IF(CagrTable[[#This Row],[Is Naked Short]], CagrTable[[#This Row],[Qty]] * -100, 0)</f>
        <v>0</v>
      </c>
      <c r="AQ36" s="169">
        <f>IF(CagrTable[[#This Row],[Is ACB Put]], CagrTable[[#This Row],[Qty]] * -100, 0)</f>
        <v>0</v>
      </c>
      <c r="AR36" s="169">
        <f>IF(AND(CagrTable[[#This Row],[Is Short]], NOT(CagrTable[[#This Row],[Is Naked Short]])), CagrTable[[#This Row],[Qty]] * IF(CagrTable[[#This Row],[Is Option]], 100, 1), 0)</f>
        <v>0</v>
      </c>
      <c r="AS36" s="169">
        <f>SUM(CagrTable[[#This Row],[Long Share Equivalent]:[Covered Short Share Equivalent]])</f>
        <v>200</v>
      </c>
      <c r="AT36" s="169">
        <f>IF(CagrTable[[#This Row],[Is Open]], SUM(CagrTable[[#This Row],[Long Share Equivalent]:[ACB Put Share Equivalent]]), 0)</f>
        <v>200</v>
      </c>
      <c r="AU36" s="166">
        <f>IF(OR(CagrTable[[#This Row],[Is Long]], CagrTable[[#This Row],[Is DIV]]), CagrTable[[#This Row],[Acquire Date]], CagrTable[[#This Row],[Sell Date]])</f>
        <v>46087.579027777778</v>
      </c>
      <c r="AV36" s="166" t="str">
        <f>IF(NOT(CagrTable[[#This Row],[Is Option]]), IF(OR(CagrTable[[#This Row],[Is Long]], CagrTable[[#This Row],[Is DIV]]), CagrTable[[#This Row],[Sell Date]], CagrTable[[#This Row],[Acquire Date]]), "")</f>
        <v/>
      </c>
      <c r="AW36" s="166">
        <f>IF(AND(CagrTable[[#This Row],[Is Option]], CagrTable[[#This Row],[Is Open]]), IF(CagrTable[[#This Row],[Is Long Call]], CagrTable[[#This Row],[Exp Date]], MIN(MockToday, CagrTable[[#This Row],[Exp Date]])), "")</f>
        <v>46773.729166666664</v>
      </c>
      <c r="AX36" s="166" t="str">
        <f>IF(AND(CagrTable[[#This Row],[Is Option]], NOT(CagrTable[[#This Row],[Is Open]])), IF(CagrTable[[#This Row],[Is Long]], CagrTable[[#This Row],[Sell Date]], CagrTable[[#This Row],[Acquire Date]]), "")</f>
        <v/>
      </c>
      <c r="AY36" s="166" cm="1">
        <f t="array" ref="AY36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46773.729166666664</v>
      </c>
      <c r="AZ36" s="80" t="b">
        <f>IF(AND(CagrTable[[#This Row],[Visible]], CagrTable[[#This Row],[Is Open]]), OR(CagrTable[[#This Row],[Is Long]], AND(CagrTable[[#This Row],[Is Short]], CagrTable[[#This Row],[Is Naked Call]])), FALSE)</f>
        <v>0</v>
      </c>
      <c r="BA36" s="80" t="b">
        <f>AND(CagrTable[[#This Row],[Visible]], OR(NOT(CagrTable[[#This Row],[Is PLUG]]), CagrTable[[#This Row],[Plug Type]] = "MTM"))</f>
        <v>0</v>
      </c>
      <c r="BB36" s="80" t="b">
        <f>AND(CagrTable[[#This Row],[Visible]],NOT(CagrTable[[#This Row],[Is Open]]),NOT(CagrTable[[#This Row],[Plug Type]] = "MC"),CagrTable[[#This Row],[Position]]&lt;&gt;"DIV")</f>
        <v>0</v>
      </c>
      <c r="BC36" s="193">
        <f>IF(AND(CagrTable[[#This Row],[Visible]], CagrTable[[#This Row],[Plug Type]] = "MC"), CagrTable[[#This Row],[Basis]], 0)</f>
        <v>0</v>
      </c>
      <c r="BD36" s="182">
        <f>IF(CagrTable[[#This Row],[Is PLUG]], 0, CagrTable[[#This Row],[Proceeds]] - CagrTable[[#This Row],[Basis]])</f>
        <v>-3301.35</v>
      </c>
      <c r="BE36" s="180">
        <f>IF(AND(OR(CagrTable[[#This Row],[Is Short Call]],CagrTable[[#This Row],[Is Short Put]])), CagrTable[[#This Row],[Proceeds]], 0)</f>
        <v>0</v>
      </c>
      <c r="BF36" s="180">
        <f>IF(AND(OR(CagrTable[[#This Row],[Is Short Call]],CagrTable[[#This Row],[Is Short Put]])), CagrTable[[#This Row],[Basis]], 0)</f>
        <v>0</v>
      </c>
      <c r="BG36" s="173">
        <f>IF(CagrTable[[#This Row],[Covered Short Share Equivalent]] &gt; 0,-1 * CagrTable[[#This Row],[Premium Input]] / CagrTable[[#This Row],[Covered Short Share Equivalent]], 0)</f>
        <v>0</v>
      </c>
      <c r="BH36" s="173">
        <f>IF(CagrTable[[#This Row],[Covered Short Share Equivalent]] &gt; 0, CagrTable[[#This Row],[Premium Offset Input]] / CagrTable[[#This Row],[Covered Short Share Equivalent]], 0)</f>
        <v>0</v>
      </c>
      <c r="BI36" s="173">
        <f>SUM(CagrTable[[#This Row],[Premium ACB]:[Premium Offset ACB]])</f>
        <v>0</v>
      </c>
      <c r="BJ36" s="173">
        <f>IF(CagrTable[[#This Row],[Is Naked Short]],-1 * CagrTable[[#This Row],[Strike Price]] - (CagrTable[[#This Row],[Proceeds]] / CagrTable[[#This Row],[Naked Short Share Equivalent]]), 0)</f>
        <v>0</v>
      </c>
      <c r="BK36" s="173">
        <f>IF(CagrTable[[#This Row],[Is Short Put]], CagrTable[[#This Row],[Strike Price]] + CagrTable[[#This Row],[Net Short Premium ACB]], 0)</f>
        <v>0</v>
      </c>
      <c r="BL36" s="173">
        <f>IF(AND(CagrTable[[#This Row],[Is Long Call]], NOT(CagrTable[[#This Row],[Is PLUG]])), -1 * CagrTable[[#This Row],[P&amp;L]]/(CagrTable[[#This Row],[Qty]] * 100), 0)</f>
        <v>16.50675</v>
      </c>
      <c r="BM36" s="173">
        <f>IF(AND(NOT(CagrTable[[#This Row],[Is Option]]), NOT(CagrTable[[#This Row],[Is PLUG]]), OR(CagrTable[[#This Row],[Is Open]], CagrTable[[#This Row],[Is DIV]]), N(CagrTable[[#This Row],[Qty]])&lt;&gt;0), -CagrTable[[#This Row],[P&amp;L]]/CagrTable[[#This Row],[Qty]], 0)</f>
        <v>0</v>
      </c>
      <c r="BN36" s="173" t="b">
        <f>AND(_Total_ACB_Shares&lt;&gt;0, NOT(CagrTable[[#This Row],[Is PLUG]]))</f>
        <v>0</v>
      </c>
      <c r="BO36" s="173">
        <f>IF(OR(_Total_ACB_Shares=0, CagrTable[[#This Row],[Is PLUG]]), 0, (CagrTable[[#This Row],[ACB]] * CagrTable[[#This Row],[Qty]] * IF(CagrTable[[#This Row],[Is Option]], 100, 1))/ _Total_ACB_Shares)</f>
        <v>0</v>
      </c>
      <c r="BP36" s="184">
        <f t="shared" si="2"/>
        <v>1</v>
      </c>
      <c r="BQ36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16.50675</v>
      </c>
      <c r="BR36" s="174">
        <f>CagrTable[[#This Row],[Prelim Weighted ACB]] * CagrTable[[#This Row],[ACB Sign]]</f>
        <v>0</v>
      </c>
      <c r="BS36" s="62">
        <f>CagrTable[[#This Row],[Proceeds]] - CagrTable[[#This Row],[Basis]]</f>
        <v>-3301.35</v>
      </c>
      <c r="BT36" s="91" t="s">
        <v>91</v>
      </c>
      <c r="BU36" s="63" t="s">
        <v>62</v>
      </c>
      <c r="BV36" s="63" t="s">
        <v>71</v>
      </c>
      <c r="BW36" s="63"/>
      <c r="BX36" s="27"/>
      <c r="BY36" s="58">
        <v>59.6</v>
      </c>
      <c r="BZ36" s="58">
        <v>16.5</v>
      </c>
      <c r="CA36" s="100">
        <v>46087.579027777778</v>
      </c>
      <c r="CB36" s="58">
        <v>17.13</v>
      </c>
      <c r="CC36" s="58">
        <v>15.85</v>
      </c>
      <c r="CD36" s="65">
        <v>49</v>
      </c>
      <c r="CE36" s="83"/>
      <c r="CF36" s="66" t="s">
        <v>73</v>
      </c>
      <c r="CG36" s="58"/>
      <c r="CH36" s="66" t="s">
        <v>297</v>
      </c>
      <c r="CI36" s="66"/>
      <c r="CJ36" s="66"/>
      <c r="CK36" s="58"/>
      <c r="CL36" s="58"/>
      <c r="CM36" s="64"/>
      <c r="CN36" s="58"/>
      <c r="CO36" s="58"/>
      <c r="CP36" s="67"/>
      <c r="CQ36" s="82"/>
      <c r="CR36" s="58"/>
      <c r="CS36" s="58"/>
      <c r="CT36" s="66"/>
      <c r="CU36" s="73"/>
      <c r="CV36" s="181" t="s">
        <v>298</v>
      </c>
      <c r="DC36" s="19"/>
      <c r="DL36" s="13"/>
    </row>
    <row r="37" spans="1:116" ht="12.75" hidden="1" customHeight="1">
      <c r="A37" s="69" t="s">
        <v>97</v>
      </c>
      <c r="B37" s="189" t="s">
        <v>67</v>
      </c>
      <c r="C37" s="88">
        <v>4</v>
      </c>
      <c r="D37" s="70">
        <v>20</v>
      </c>
      <c r="E37" s="1" t="str">
        <f>CONCATENATE(CagrTable[[#This Row],[Symbol]], CagrTable[[#This Row],[ID]])</f>
        <v>FCX20</v>
      </c>
      <c r="F37" s="55" t="s">
        <v>61</v>
      </c>
      <c r="G37" s="56">
        <v>46135.654675925929</v>
      </c>
      <c r="H37" s="58">
        <v>100.09</v>
      </c>
      <c r="I37" s="57">
        <f>IF(ISNUMBER(CagrTable[[#This Row],[Qty]]),CagrTable[[#This Row],[Basis]] /CagrTable[[#This Row],[Qty]], "")</f>
        <v>25.022500000000001</v>
      </c>
      <c r="J37" s="56">
        <v>46120.522164351853</v>
      </c>
      <c r="K37" s="58">
        <v>485.29</v>
      </c>
      <c r="L37" s="78">
        <f>IF(ISNUMBER(CagrTable[[#This Row],[Qty]]),CagrTable[[#This Row],[Proceeds]] / CagrTable[[#This Row],[Qty]], "")</f>
        <v>121.32250000000001</v>
      </c>
      <c r="M37" s="77">
        <f>IF(CagrTable[[#This Row],[Is Open]], CagrTable[[#This Row],[Date Opened]], CagrTable[[#This Row],[Date Closed]])</f>
        <v>46135.654675925929</v>
      </c>
      <c r="N37" s="101"/>
      <c r="O37"/>
      <c r="P37" s="177"/>
      <c r="Q37" s="176"/>
      <c r="R37" s="71">
        <f>IF(CagrTable[[#This Row],[Sell Date]]=CagrTable[[#This Row],[Acquire Date]], 1, ABS(CagrTable[[#This Row],[Sell Date]] - CagrTable[[#This Row],[Acquire Date]]))</f>
        <v>15.132511574076489</v>
      </c>
      <c r="S37" s="72">
        <f>CagrTable[[#This Row],[Days Held]] / 30</f>
        <v>0.50441705246921631</v>
      </c>
      <c r="T37" s="178">
        <v>2.71</v>
      </c>
      <c r="U37" s="179">
        <v>0.09</v>
      </c>
      <c r="V37" s="158">
        <v>46157.729166666664</v>
      </c>
      <c r="W37" s="60">
        <v>75</v>
      </c>
      <c r="X37" s="75" t="s">
        <v>68</v>
      </c>
      <c r="Y37" s="61" t="s">
        <v>302</v>
      </c>
      <c r="Z37" s="85" t="str">
        <f>IF(OR(CagrTable[[#This Row],[Is Closed]]="", CagrTable[[#This Row],[Is Closed]]="H"),"Y","")</f>
        <v/>
      </c>
      <c r="AA37" s="85" t="str">
        <f>IF(OR(CagrTable[[#This Row],[Position]]="LNG",CagrTable[[#This Row],[Position]]="SHRT"),"Equity","Option")</f>
        <v>Option</v>
      </c>
      <c r="AB37" s="84" t="str">
        <f>IF(CagrTable[[#This Row],[Pricing Update Included]]="Y",IF(CagrTable[[#This Row],[Pricing Update Asset]]="Equity",CagrTable[[#This Row],[Symbol]],CagrTable[[#This Row],[Option Symbol]]),"")</f>
        <v/>
      </c>
      <c r="AC37" s="80">
        <f>SUBTOTAL(103,CagrTable[[#This Row],[Symbol]])</f>
        <v>0</v>
      </c>
      <c r="AD37" s="80" t="b">
        <f>LEFT(CagrTable[[#This Row],[Position]],1)="L"</f>
        <v>0</v>
      </c>
      <c r="AE37" s="80" t="b">
        <f>LEFT(CagrTable[[#This Row],[Position]],1)="S"</f>
        <v>1</v>
      </c>
      <c r="AF37" s="80" t="b">
        <f>(CagrTable[[#This Row],[Position]] = "DIV")</f>
        <v>0</v>
      </c>
      <c r="AG37" s="80" t="b">
        <f>CagrTable[[#This Row],[Position]] = "PLUG"</f>
        <v>0</v>
      </c>
      <c r="AH37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0</v>
      </c>
      <c r="AI37" s="80" t="b">
        <f>CagrTable[[#This Row],[Is Closed]] &lt;&gt; "Y"</f>
        <v>0</v>
      </c>
      <c r="AJ37" s="84" t="b">
        <f>OR(CagrTable[[#This Row],[Option Type]]&lt;&gt;"",
  CagrTable[[#This Row],[Position]]="LC", CagrTable[[#This Row],[Position]]="SC",
  CagrTable[[#This Row],[Position]]="LP",CagrTable[[#This Row],[Position]]="SP"
)</f>
        <v>1</v>
      </c>
      <c r="AK37" s="84" t="b">
        <f>AND(CagrTable[[#This Row],[Option Type]] = "C", CagrTable[[#This Row],[Is Short]])</f>
        <v>1</v>
      </c>
      <c r="AL37" s="84" t="b">
        <f>AND(CagrTable[[#This Row],[Is Short Call]],CagrTable[[#This Row],[Is Naked Call]] = TRUE)</f>
        <v>0</v>
      </c>
      <c r="AM37" s="84" t="b">
        <f>AND(CagrTable[[#This Row],[Option Type]] = "P", CagrTable[[#This Row],[Is Short]])</f>
        <v>0</v>
      </c>
      <c r="AN37" s="84" t="b">
        <f>CagrTable[[#This Row],[Position]]= "LC"</f>
        <v>0</v>
      </c>
      <c r="AO37" s="169">
        <f>IF(AND(CagrTable[[#This Row],[Is Long]], NOT(CagrTable[[#This Row],[Position]]="LP")), CagrTable[[#This Row],[Qty]] * IF(CagrTable[[#This Row],[Is Option]], 100, 1), 0)</f>
        <v>0</v>
      </c>
      <c r="AP37" s="169">
        <f>IF(CagrTable[[#This Row],[Is Naked Short]], CagrTable[[#This Row],[Qty]] * -100, 0)</f>
        <v>0</v>
      </c>
      <c r="AQ37" s="169">
        <f>IF(CagrTable[[#This Row],[Is ACB Put]], CagrTable[[#This Row],[Qty]] * -100, 0)</f>
        <v>0</v>
      </c>
      <c r="AR37" s="169">
        <f>IF(AND(CagrTable[[#This Row],[Is Short]], NOT(CagrTable[[#This Row],[Is Naked Short]])), CagrTable[[#This Row],[Qty]] * IF(CagrTable[[#This Row],[Is Option]], 100, 1), 0)</f>
        <v>400</v>
      </c>
      <c r="AS37" s="169">
        <f>SUM(CagrTable[[#This Row],[Long Share Equivalent]:[Covered Short Share Equivalent]])</f>
        <v>400</v>
      </c>
      <c r="AT37" s="169">
        <f>IF(CagrTable[[#This Row],[Is Open]], SUM(CagrTable[[#This Row],[Long Share Equivalent]:[ACB Put Share Equivalent]]), 0)</f>
        <v>0</v>
      </c>
      <c r="AU37" s="166">
        <f>IF(OR(CagrTable[[#This Row],[Is Long]], CagrTable[[#This Row],[Is DIV]]), CagrTable[[#This Row],[Acquire Date]], CagrTable[[#This Row],[Sell Date]])</f>
        <v>46120.522164351853</v>
      </c>
      <c r="AV37" s="166" t="str">
        <f>IF(NOT(CagrTable[[#This Row],[Is Option]]), IF(OR(CagrTable[[#This Row],[Is Long]], CagrTable[[#This Row],[Is DIV]]), CagrTable[[#This Row],[Sell Date]], CagrTable[[#This Row],[Acquire Date]]), "")</f>
        <v/>
      </c>
      <c r="AW37" s="166" t="str">
        <f>IF(AND(CagrTable[[#This Row],[Is Option]], CagrTable[[#This Row],[Is Open]]), IF(CagrTable[[#This Row],[Is Long Call]], CagrTable[[#This Row],[Exp Date]], MIN(MockToday, CagrTable[[#This Row],[Exp Date]])), "")</f>
        <v/>
      </c>
      <c r="AX37" s="166">
        <f>IF(AND(CagrTable[[#This Row],[Is Option]], NOT(CagrTable[[#This Row],[Is Open]])), IF(CagrTable[[#This Row],[Is Long]], CagrTable[[#This Row],[Sell Date]], CagrTable[[#This Row],[Acquire Date]]), "")</f>
        <v>46135.654675925929</v>
      </c>
      <c r="AY37" s="166" cm="1">
        <f t="array" ref="AY37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46135.654675925929</v>
      </c>
      <c r="AZ37" s="80" t="b">
        <f>IF(AND(CagrTable[[#This Row],[Visible]], CagrTable[[#This Row],[Is Open]]), OR(CagrTable[[#This Row],[Is Long]], AND(CagrTable[[#This Row],[Is Short]], CagrTable[[#This Row],[Is Naked Call]])), FALSE)</f>
        <v>0</v>
      </c>
      <c r="BA37" s="80" t="b">
        <f>AND(CagrTable[[#This Row],[Visible]], OR(NOT(CagrTable[[#This Row],[Is PLUG]]), CagrTable[[#This Row],[Plug Type]] = "MTM"))</f>
        <v>0</v>
      </c>
      <c r="BB37" s="80" t="b">
        <f>AND(CagrTable[[#This Row],[Visible]],NOT(CagrTable[[#This Row],[Is Open]]),NOT(CagrTable[[#This Row],[Plug Type]] = "MC"),CagrTable[[#This Row],[Position]]&lt;&gt;"DIV")</f>
        <v>0</v>
      </c>
      <c r="BC37" s="193">
        <f>IF(AND(CagrTable[[#This Row],[Visible]], CagrTable[[#This Row],[Plug Type]] = "MC"), CagrTable[[#This Row],[Basis]], 0)</f>
        <v>0</v>
      </c>
      <c r="BD37" s="182">
        <f>IF(CagrTable[[#This Row],[Is PLUG]], 0, CagrTable[[#This Row],[Proceeds]] - CagrTable[[#This Row],[Basis]])</f>
        <v>385.20000000000005</v>
      </c>
      <c r="BE37" s="180">
        <f>IF(AND(OR(CagrTable[[#This Row],[Is Short Call]],CagrTable[[#This Row],[Is Short Put]])), CagrTable[[#This Row],[Proceeds]], 0)</f>
        <v>485.29</v>
      </c>
      <c r="BF37" s="180">
        <f>IF(AND(OR(CagrTable[[#This Row],[Is Short Call]],CagrTable[[#This Row],[Is Short Put]])), CagrTable[[#This Row],[Basis]], 0)</f>
        <v>100.09</v>
      </c>
      <c r="BG37" s="173">
        <f>IF(CagrTable[[#This Row],[Covered Short Share Equivalent]] &gt; 0,-1 * CagrTable[[#This Row],[Premium Input]] / CagrTable[[#This Row],[Covered Short Share Equivalent]], 0)</f>
        <v>-1.213225</v>
      </c>
      <c r="BH37" s="173">
        <f>IF(CagrTable[[#This Row],[Covered Short Share Equivalent]] &gt; 0, CagrTable[[#This Row],[Premium Offset Input]] / CagrTable[[#This Row],[Covered Short Share Equivalent]], 0)</f>
        <v>0.25022500000000003</v>
      </c>
      <c r="BI37" s="173">
        <f>SUM(CagrTable[[#This Row],[Premium ACB]:[Premium Offset ACB]])</f>
        <v>-0.96299999999999997</v>
      </c>
      <c r="BJ37" s="173">
        <f>IF(CagrTable[[#This Row],[Is Naked Short]],-1 * CagrTable[[#This Row],[Strike Price]] - (CagrTable[[#This Row],[Proceeds]] / CagrTable[[#This Row],[Naked Short Share Equivalent]]), 0)</f>
        <v>0</v>
      </c>
      <c r="BK37" s="173">
        <f>IF(CagrTable[[#This Row],[Is Short Put]], CagrTable[[#This Row],[Strike Price]] + CagrTable[[#This Row],[Net Short Premium ACB]], 0)</f>
        <v>0</v>
      </c>
      <c r="BL37" s="173">
        <f>IF(AND(CagrTable[[#This Row],[Is Long Call]], NOT(CagrTable[[#This Row],[Is PLUG]])), -1 * CagrTable[[#This Row],[P&amp;L]]/(CagrTable[[#This Row],[Qty]] * 100), 0)</f>
        <v>0</v>
      </c>
      <c r="BM37" s="173">
        <f>IF(AND(NOT(CagrTable[[#This Row],[Is Option]]), NOT(CagrTable[[#This Row],[Is PLUG]]), OR(CagrTable[[#This Row],[Is Open]], CagrTable[[#This Row],[Is DIV]]), N(CagrTable[[#This Row],[Qty]])&lt;&gt;0), -CagrTable[[#This Row],[P&amp;L]]/CagrTable[[#This Row],[Qty]], 0)</f>
        <v>0</v>
      </c>
      <c r="BN37" s="173" t="b">
        <f>AND(_Total_ACB_Shares&lt;&gt;0, NOT(CagrTable[[#This Row],[Is PLUG]]))</f>
        <v>0</v>
      </c>
      <c r="BO37" s="173">
        <f>IF(OR(_Total_ACB_Shares=0, CagrTable[[#This Row],[Is PLUG]]), 0, (CagrTable[[#This Row],[ACB]] * CagrTable[[#This Row],[Qty]] * IF(CagrTable[[#This Row],[Is Option]], 100, 1))/ _Total_ACB_Shares)</f>
        <v>0</v>
      </c>
      <c r="BP37" s="184">
        <f t="shared" si="2"/>
        <v>1</v>
      </c>
      <c r="BQ37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-0.96299999999999997</v>
      </c>
      <c r="BR37" s="174">
        <f>CagrTable[[#This Row],[Prelim Weighted ACB]] * CagrTable[[#This Row],[ACB Sign]]</f>
        <v>0</v>
      </c>
      <c r="BS37" s="62">
        <f>CagrTable[[#This Row],[Proceeds]] - CagrTable[[#This Row],[Basis]]</f>
        <v>385.20000000000005</v>
      </c>
      <c r="BT37" s="91" t="s">
        <v>70</v>
      </c>
      <c r="BU37" s="63" t="s">
        <v>62</v>
      </c>
      <c r="BV37" s="63" t="s">
        <v>71</v>
      </c>
      <c r="BW37" s="63" t="s">
        <v>87</v>
      </c>
      <c r="BX37" s="27"/>
      <c r="BY37" s="58">
        <v>65.55</v>
      </c>
      <c r="BZ37" s="58">
        <v>1.22</v>
      </c>
      <c r="CA37" s="100">
        <v>46120.522164351853</v>
      </c>
      <c r="CB37" s="58">
        <v>1.38</v>
      </c>
      <c r="CC37" s="58">
        <v>0.95</v>
      </c>
      <c r="CD37" s="65">
        <v>62</v>
      </c>
      <c r="CE37" s="83"/>
      <c r="CF37" s="66" t="s">
        <v>64</v>
      </c>
      <c r="CG37" s="58">
        <v>1.22</v>
      </c>
      <c r="CH37" s="66" t="s">
        <v>303</v>
      </c>
      <c r="CI37" s="66"/>
      <c r="CJ37" s="66"/>
      <c r="CK37" s="58">
        <v>61.15</v>
      </c>
      <c r="CL37" s="58">
        <v>0.25</v>
      </c>
      <c r="CM37" s="64">
        <v>46135.654675925929</v>
      </c>
      <c r="CN37" s="58">
        <v>0.8</v>
      </c>
      <c r="CO37" s="58">
        <v>0.25</v>
      </c>
      <c r="CP37" s="67">
        <v>100</v>
      </c>
      <c r="CQ37" s="82"/>
      <c r="CR37" s="58" t="s">
        <v>64</v>
      </c>
      <c r="CS37" s="58">
        <v>0.25</v>
      </c>
      <c r="CT37" s="66" t="s">
        <v>320</v>
      </c>
      <c r="CU37" s="73"/>
      <c r="CV37" s="181" t="s">
        <v>304</v>
      </c>
      <c r="DC37" s="19"/>
      <c r="DL37" s="13"/>
    </row>
    <row r="38" spans="1:116" ht="12.75" hidden="1" customHeight="1">
      <c r="A38" s="69" t="s">
        <v>97</v>
      </c>
      <c r="B38" s="189" t="s">
        <v>77</v>
      </c>
      <c r="C38" s="88">
        <v>2</v>
      </c>
      <c r="D38" s="70">
        <v>20</v>
      </c>
      <c r="E38" s="1" t="str">
        <f>CONCATENATE(CagrTable[[#This Row],[Symbol]], CagrTable[[#This Row],[ID]])</f>
        <v>FCX20</v>
      </c>
      <c r="F38" s="55"/>
      <c r="G38" s="56">
        <v>46141.397152777776</v>
      </c>
      <c r="H38" s="58">
        <v>2801.35</v>
      </c>
      <c r="I38" s="57">
        <f>IF(ISNUMBER(CagrTable[[#This Row],[Qty]]),CagrTable[[#This Row],[Basis]] /CagrTable[[#This Row],[Qty]], "")</f>
        <v>1400.675</v>
      </c>
      <c r="J38" s="56">
        <v>46043</v>
      </c>
      <c r="K38" s="58">
        <v>0</v>
      </c>
      <c r="L38" s="78">
        <f>IF(ISNUMBER(CagrTable[[#This Row],[Qty]]),CagrTable[[#This Row],[Proceeds]] / CagrTable[[#This Row],[Qty]], "")</f>
        <v>0</v>
      </c>
      <c r="M38" s="77">
        <f>IF(CagrTable[[#This Row],[Is Open]], CagrTable[[#This Row],[Date Opened]], CagrTable[[#This Row],[Date Closed]])</f>
        <v>46141.397152777776</v>
      </c>
      <c r="N38" s="101"/>
      <c r="O38"/>
      <c r="P38" s="177"/>
      <c r="Q38" s="176"/>
      <c r="R38" s="71">
        <f>IF(CagrTable[[#This Row],[Sell Date]]=CagrTable[[#This Row],[Acquire Date]], 1, ABS(CagrTable[[#This Row],[Sell Date]] - CagrTable[[#This Row],[Acquire Date]]))</f>
        <v>98.397152777775773</v>
      </c>
      <c r="S38" s="59">
        <f>CagrTable[[#This Row],[Days Held]] / 30</f>
        <v>3.2799050925925259</v>
      </c>
      <c r="T38" s="178">
        <v>1.35</v>
      </c>
      <c r="U38" s="179"/>
      <c r="V38" s="158">
        <v>46043.729166666664</v>
      </c>
      <c r="W38" s="60">
        <v>60</v>
      </c>
      <c r="X38" s="75" t="s">
        <v>68</v>
      </c>
      <c r="Y38" s="61" t="s">
        <v>324</v>
      </c>
      <c r="Z38" s="85" t="str">
        <f>IF(OR(CagrTable[[#This Row],[Is Closed]]="", CagrTable[[#This Row],[Is Closed]]="H"),"Y","")</f>
        <v>Y</v>
      </c>
      <c r="AA38" s="85" t="str">
        <f>IF(OR(CagrTable[[#This Row],[Position]]="LNG",CagrTable[[#This Row],[Position]]="SHRT"),"Equity","Option")</f>
        <v>Option</v>
      </c>
      <c r="AB38" s="84" t="str">
        <f>IF(CagrTable[[#This Row],[Pricing Update Included]]="Y",IF(CagrTable[[#This Row],[Pricing Update Asset]]="Equity",CagrTable[[#This Row],[Symbol]],CagrTable[[#This Row],[Option Symbol]]),"")</f>
        <v>FCX260121C00060000</v>
      </c>
      <c r="AC38" s="80">
        <f>SUBTOTAL(103,CagrTable[[#This Row],[Symbol]])</f>
        <v>0</v>
      </c>
      <c r="AD38" s="80" t="b">
        <f>LEFT(CagrTable[[#This Row],[Position]],1)="L"</f>
        <v>1</v>
      </c>
      <c r="AE38" s="80" t="b">
        <f>LEFT(CagrTable[[#This Row],[Position]],1)="S"</f>
        <v>0</v>
      </c>
      <c r="AF38" s="80" t="b">
        <f>(CagrTable[[#This Row],[Position]] = "DIV")</f>
        <v>0</v>
      </c>
      <c r="AG38" s="80" t="b">
        <f>CagrTable[[#This Row],[Position]] = "PLUG"</f>
        <v>0</v>
      </c>
      <c r="AH38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0</v>
      </c>
      <c r="AI38" s="80" t="b">
        <f>CagrTable[[#This Row],[Is Closed]] &lt;&gt; "Y"</f>
        <v>1</v>
      </c>
      <c r="AJ38" s="84" t="b">
        <f>OR(CagrTable[[#This Row],[Option Type]]&lt;&gt;"",
  CagrTable[[#This Row],[Position]]="LC", CagrTable[[#This Row],[Position]]="SC",
  CagrTable[[#This Row],[Position]]="LP",CagrTable[[#This Row],[Position]]="SP"
)</f>
        <v>1</v>
      </c>
      <c r="AK38" s="84" t="b">
        <f>AND(CagrTable[[#This Row],[Option Type]] = "C", CagrTable[[#This Row],[Is Short]])</f>
        <v>0</v>
      </c>
      <c r="AL38" s="84" t="b">
        <f>AND(CagrTable[[#This Row],[Is Short Call]],CagrTable[[#This Row],[Is Naked Call]] = TRUE)</f>
        <v>0</v>
      </c>
      <c r="AM38" s="84" t="b">
        <f>AND(CagrTable[[#This Row],[Option Type]] = "P", CagrTable[[#This Row],[Is Short]])</f>
        <v>0</v>
      </c>
      <c r="AN38" s="84" t="b">
        <f>CagrTable[[#This Row],[Position]]= "LC"</f>
        <v>1</v>
      </c>
      <c r="AO38" s="169">
        <f>IF(AND(CagrTable[[#This Row],[Is Long]], NOT(CagrTable[[#This Row],[Position]]="LP")), CagrTable[[#This Row],[Qty]] * IF(CagrTable[[#This Row],[Is Option]], 100, 1), 0)</f>
        <v>200</v>
      </c>
      <c r="AP38" s="169">
        <f>IF(CagrTable[[#This Row],[Is Naked Short]], CagrTable[[#This Row],[Qty]] * -100, 0)</f>
        <v>0</v>
      </c>
      <c r="AQ38" s="169">
        <f>IF(CagrTable[[#This Row],[Is ACB Put]], CagrTable[[#This Row],[Qty]] * -100, 0)</f>
        <v>0</v>
      </c>
      <c r="AR38" s="169">
        <f>IF(AND(CagrTable[[#This Row],[Is Short]], NOT(CagrTable[[#This Row],[Is Naked Short]])), CagrTable[[#This Row],[Qty]] * IF(CagrTable[[#This Row],[Is Option]], 100, 1), 0)</f>
        <v>0</v>
      </c>
      <c r="AS38" s="169">
        <f>SUM(CagrTable[[#This Row],[Long Share Equivalent]:[Covered Short Share Equivalent]])</f>
        <v>200</v>
      </c>
      <c r="AT38" s="169">
        <f>IF(CagrTable[[#This Row],[Is Open]], SUM(CagrTable[[#This Row],[Long Share Equivalent]:[ACB Put Share Equivalent]]), 0)</f>
        <v>200</v>
      </c>
      <c r="AU38" s="166">
        <f>IF(OR(CagrTable[[#This Row],[Is Long]], CagrTable[[#This Row],[Is DIV]]), CagrTable[[#This Row],[Acquire Date]], CagrTable[[#This Row],[Sell Date]])</f>
        <v>46141.397152777776</v>
      </c>
      <c r="AV38" s="166" t="str">
        <f>IF(NOT(CagrTable[[#This Row],[Is Option]]), IF(OR(CagrTable[[#This Row],[Is Long]], CagrTable[[#This Row],[Is DIV]]), CagrTable[[#This Row],[Sell Date]], CagrTable[[#This Row],[Acquire Date]]), "")</f>
        <v/>
      </c>
      <c r="AW38" s="166">
        <f>IF(AND(CagrTable[[#This Row],[Is Option]], CagrTable[[#This Row],[Is Open]]), IF(CagrTable[[#This Row],[Is Long Call]], CagrTable[[#This Row],[Exp Date]], MIN(MockToday, CagrTable[[#This Row],[Exp Date]])), "")</f>
        <v>46043.729166666664</v>
      </c>
      <c r="AX38" s="166" t="str">
        <f>IF(AND(CagrTable[[#This Row],[Is Option]], NOT(CagrTable[[#This Row],[Is Open]])), IF(CagrTable[[#This Row],[Is Long]], CagrTable[[#This Row],[Sell Date]], CagrTable[[#This Row],[Acquire Date]]), "")</f>
        <v/>
      </c>
      <c r="AY38" s="166" cm="1">
        <f t="array" ref="AY38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46043.729166666664</v>
      </c>
      <c r="AZ38" s="80" t="b">
        <f>IF(AND(CagrTable[[#This Row],[Visible]], CagrTable[[#This Row],[Is Open]]), OR(CagrTable[[#This Row],[Is Long]], AND(CagrTable[[#This Row],[Is Short]], CagrTable[[#This Row],[Is Naked Call]])), FALSE)</f>
        <v>0</v>
      </c>
      <c r="BA38" s="80" t="b">
        <f>AND(CagrTable[[#This Row],[Visible]], OR(NOT(CagrTable[[#This Row],[Is PLUG]]), CagrTable[[#This Row],[Plug Type]] = "MTM"))</f>
        <v>0</v>
      </c>
      <c r="BB38" s="80" t="b">
        <f>AND(CagrTable[[#This Row],[Visible]],NOT(CagrTable[[#This Row],[Is Open]]),NOT(CagrTable[[#This Row],[Plug Type]] = "MC"),CagrTable[[#This Row],[Position]]&lt;&gt;"DIV")</f>
        <v>0</v>
      </c>
      <c r="BC38" s="193">
        <f>IF(AND(CagrTable[[#This Row],[Visible]], CagrTable[[#This Row],[Plug Type]] = "MC"), CagrTable[[#This Row],[Basis]], 0)</f>
        <v>0</v>
      </c>
      <c r="BD38" s="182">
        <f>IF(CagrTable[[#This Row],[Is PLUG]], 0, CagrTable[[#This Row],[Proceeds]] - CagrTable[[#This Row],[Basis]])</f>
        <v>-2801.35</v>
      </c>
      <c r="BE38" s="180">
        <f>IF(AND(OR(CagrTable[[#This Row],[Is Short Call]],CagrTable[[#This Row],[Is Short Put]])), CagrTable[[#This Row],[Proceeds]], 0)</f>
        <v>0</v>
      </c>
      <c r="BF38" s="180">
        <f>IF(AND(OR(CagrTable[[#This Row],[Is Short Call]],CagrTable[[#This Row],[Is Short Put]])), CagrTable[[#This Row],[Basis]], 0)</f>
        <v>0</v>
      </c>
      <c r="BG38" s="173">
        <f>IF(CagrTable[[#This Row],[Covered Short Share Equivalent]] &gt; 0,-1 * CagrTable[[#This Row],[Premium Input]] / CagrTable[[#This Row],[Covered Short Share Equivalent]], 0)</f>
        <v>0</v>
      </c>
      <c r="BH38" s="173">
        <f>IF(CagrTable[[#This Row],[Covered Short Share Equivalent]] &gt; 0, CagrTable[[#This Row],[Premium Offset Input]] / CagrTable[[#This Row],[Covered Short Share Equivalent]], 0)</f>
        <v>0</v>
      </c>
      <c r="BI38" s="173">
        <f>SUM(CagrTable[[#This Row],[Premium ACB]:[Premium Offset ACB]])</f>
        <v>0</v>
      </c>
      <c r="BJ38" s="173">
        <f>IF(CagrTable[[#This Row],[Is Naked Short]],-1 * CagrTable[[#This Row],[Strike Price]] - (CagrTable[[#This Row],[Proceeds]] / CagrTable[[#This Row],[Naked Short Share Equivalent]]), 0)</f>
        <v>0</v>
      </c>
      <c r="BK38" s="173">
        <f>IF(CagrTable[[#This Row],[Is Short Put]], CagrTable[[#This Row],[Strike Price]] + CagrTable[[#This Row],[Net Short Premium ACB]], 0)</f>
        <v>0</v>
      </c>
      <c r="BL38" s="173">
        <f>IF(AND(CagrTable[[#This Row],[Is Long Call]], NOT(CagrTable[[#This Row],[Is PLUG]])), -1 * CagrTable[[#This Row],[P&amp;L]]/(CagrTable[[#This Row],[Qty]] * 100), 0)</f>
        <v>14.00675</v>
      </c>
      <c r="BM38" s="173">
        <f>IF(AND(NOT(CagrTable[[#This Row],[Is Option]]), NOT(CagrTable[[#This Row],[Is PLUG]]), OR(CagrTable[[#This Row],[Is Open]], CagrTable[[#This Row],[Is DIV]]), N(CagrTable[[#This Row],[Qty]])&lt;&gt;0), -CagrTable[[#This Row],[P&amp;L]]/CagrTable[[#This Row],[Qty]], 0)</f>
        <v>0</v>
      </c>
      <c r="BN38" s="173" t="b">
        <f>AND(_Total_ACB_Shares&lt;&gt;0, NOT(CagrTable[[#This Row],[Is PLUG]]))</f>
        <v>0</v>
      </c>
      <c r="BO38" s="173">
        <f>IF(OR(_Total_ACB_Shares=0, CagrTable[[#This Row],[Is PLUG]]), 0, (CagrTable[[#This Row],[ACB]] * CagrTable[[#This Row],[Qty]] * IF(CagrTable[[#This Row],[Is Option]], 100, 1))/ _Total_ACB_Shares)</f>
        <v>0</v>
      </c>
      <c r="BP38" s="184">
        <f t="shared" si="2"/>
        <v>1</v>
      </c>
      <c r="BQ38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14.00675</v>
      </c>
      <c r="BR38" s="174">
        <f>CagrTable[[#This Row],[Prelim Weighted ACB]] * CagrTable[[#This Row],[ACB Sign]]</f>
        <v>0</v>
      </c>
      <c r="BS38" s="62">
        <f>CagrTable[[#This Row],[Proceeds]] - CagrTable[[#This Row],[Basis]]</f>
        <v>-2801.35</v>
      </c>
      <c r="BT38" s="91" t="s">
        <v>91</v>
      </c>
      <c r="BU38" s="63" t="s">
        <v>62</v>
      </c>
      <c r="BV38" s="63" t="s">
        <v>71</v>
      </c>
      <c r="BW38" s="63" t="s">
        <v>72</v>
      </c>
      <c r="BX38" s="27"/>
      <c r="BY38" s="58">
        <v>57.8</v>
      </c>
      <c r="BZ38" s="58">
        <v>14</v>
      </c>
      <c r="CA38" s="100">
        <v>46141.397152777776</v>
      </c>
      <c r="CB38" s="58">
        <v>14.95</v>
      </c>
      <c r="CC38" s="58">
        <v>13.64</v>
      </c>
      <c r="CD38" s="65">
        <v>72</v>
      </c>
      <c r="CE38" s="82"/>
      <c r="CF38" s="66" t="s">
        <v>64</v>
      </c>
      <c r="CG38" s="58">
        <v>14</v>
      </c>
      <c r="CH38" s="66" t="s">
        <v>322</v>
      </c>
      <c r="CI38" s="66"/>
      <c r="CJ38" s="66"/>
      <c r="CK38" s="58"/>
      <c r="CL38" s="58"/>
      <c r="CM38" s="64"/>
      <c r="CN38" s="58"/>
      <c r="CO38" s="58"/>
      <c r="CP38" s="67"/>
      <c r="CQ38" s="82"/>
      <c r="CR38" s="58"/>
      <c r="CS38" s="58"/>
      <c r="CT38" s="66"/>
      <c r="CU38" s="68"/>
      <c r="CV38" s="181" t="s">
        <v>323</v>
      </c>
      <c r="DC38" s="19"/>
      <c r="DL38" s="13"/>
    </row>
    <row r="39" spans="1:116" ht="12.75" hidden="1" customHeight="1">
      <c r="A39" s="69" t="s">
        <v>97</v>
      </c>
      <c r="B39" s="189" t="s">
        <v>78</v>
      </c>
      <c r="C39" s="88">
        <v>2</v>
      </c>
      <c r="D39" s="70">
        <v>20</v>
      </c>
      <c r="E39" s="1" t="str">
        <f>CONCATENATE(CagrTable[[#This Row],[Symbol]], CagrTable[[#This Row],[ID]])</f>
        <v>FCX20</v>
      </c>
      <c r="F39" s="55" t="s">
        <v>61</v>
      </c>
      <c r="G39" s="56">
        <v>46188.401145833333</v>
      </c>
      <c r="H39" s="58">
        <v>40.049999999999997</v>
      </c>
      <c r="I39" s="57">
        <f>IF(ISNUMBER(CagrTable[[#This Row],[Qty]]),CagrTable[[#This Row],[Basis]] /CagrTable[[#This Row],[Qty]], "")</f>
        <v>20.024999999999999</v>
      </c>
      <c r="J39" s="56">
        <v>46135.576296296298</v>
      </c>
      <c r="K39" s="58">
        <v>1128.6199999999999</v>
      </c>
      <c r="L39" s="78">
        <f>IF(ISNUMBER(CagrTable[[#This Row],[Qty]]),CagrTable[[#This Row],[Proceeds]] / CagrTable[[#This Row],[Qty]], "")</f>
        <v>564.30999999999995</v>
      </c>
      <c r="M39" s="77">
        <f>IF(CagrTable[[#This Row],[Is Open]], CagrTable[[#This Row],[Date Opened]], CagrTable[[#This Row],[Date Closed]])</f>
        <v>46188.401145833333</v>
      </c>
      <c r="N39" s="101"/>
      <c r="O39"/>
      <c r="P39" s="177"/>
      <c r="Q39" s="176"/>
      <c r="R39" s="71">
        <f>IF(CagrTable[[#This Row],[Sell Date]]=CagrTable[[#This Row],[Acquire Date]], 1, ABS(CagrTable[[#This Row],[Sell Date]] - CagrTable[[#This Row],[Acquire Date]]))</f>
        <v>52.824849537035334</v>
      </c>
      <c r="S39" s="59">
        <f>CagrTable[[#This Row],[Days Held]] / 30</f>
        <v>1.7608283179011779</v>
      </c>
      <c r="T39" s="178">
        <v>1.38</v>
      </c>
      <c r="U39" s="179">
        <v>0.05</v>
      </c>
      <c r="V39" s="158">
        <v>46191.729166666664</v>
      </c>
      <c r="W39" s="60">
        <v>65</v>
      </c>
      <c r="X39" s="75" t="s">
        <v>83</v>
      </c>
      <c r="Y39" s="61" t="s">
        <v>317</v>
      </c>
      <c r="Z39" s="85" t="str">
        <f>IF(OR(CagrTable[[#This Row],[Is Closed]]="", CagrTable[[#This Row],[Is Closed]]="H"),"Y","")</f>
        <v/>
      </c>
      <c r="AA39" s="85" t="str">
        <f>IF(OR(CagrTable[[#This Row],[Position]]="LNG",CagrTable[[#This Row],[Position]]="SHRT"),"Equity","Option")</f>
        <v>Option</v>
      </c>
      <c r="AB39" s="84" t="str">
        <f>IF(CagrTable[[#This Row],[Pricing Update Included]]="Y",IF(CagrTable[[#This Row],[Pricing Update Asset]]="Equity",CagrTable[[#This Row],[Symbol]],CagrTable[[#This Row],[Option Symbol]]),"")</f>
        <v/>
      </c>
      <c r="AC39" s="80">
        <f>SUBTOTAL(103,CagrTable[[#This Row],[Symbol]])</f>
        <v>0</v>
      </c>
      <c r="AD39" s="80" t="b">
        <f>LEFT(CagrTable[[#This Row],[Position]],1)="L"</f>
        <v>0</v>
      </c>
      <c r="AE39" s="80" t="b">
        <f>LEFT(CagrTable[[#This Row],[Position]],1)="S"</f>
        <v>1</v>
      </c>
      <c r="AF39" s="80" t="b">
        <f>(CagrTable[[#This Row],[Position]] = "DIV")</f>
        <v>0</v>
      </c>
      <c r="AG39" s="80" t="b">
        <f>CagrTable[[#This Row],[Position]] = "PLUG"</f>
        <v>0</v>
      </c>
      <c r="AH39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0</v>
      </c>
      <c r="AI39" s="80" t="b">
        <f>CagrTable[[#This Row],[Is Closed]] &lt;&gt; "Y"</f>
        <v>0</v>
      </c>
      <c r="AJ39" s="84" t="b">
        <f>OR(CagrTable[[#This Row],[Option Type]]&lt;&gt;"",
  CagrTable[[#This Row],[Position]]="LC", CagrTable[[#This Row],[Position]]="SC",
  CagrTable[[#This Row],[Position]]="LP",CagrTable[[#This Row],[Position]]="SP"
)</f>
        <v>1</v>
      </c>
      <c r="AK39" s="84" t="b">
        <f>AND(CagrTable[[#This Row],[Option Type]] = "C", CagrTable[[#This Row],[Is Short]])</f>
        <v>0</v>
      </c>
      <c r="AL39" s="84" t="b">
        <f>AND(CagrTable[[#This Row],[Is Short Call]],CagrTable[[#This Row],[Is Naked Call]] = TRUE)</f>
        <v>0</v>
      </c>
      <c r="AM39" s="84" t="b">
        <f>AND(CagrTable[[#This Row],[Option Type]] = "P", CagrTable[[#This Row],[Is Short]])</f>
        <v>1</v>
      </c>
      <c r="AN39" s="84" t="b">
        <f>CagrTable[[#This Row],[Position]]= "LC"</f>
        <v>0</v>
      </c>
      <c r="AO39" s="169">
        <f>IF(AND(CagrTable[[#This Row],[Is Long]], NOT(CagrTable[[#This Row],[Position]]="LP")), CagrTable[[#This Row],[Qty]] * IF(CagrTable[[#This Row],[Is Option]], 100, 1), 0)</f>
        <v>0</v>
      </c>
      <c r="AP39" s="169">
        <f>IF(CagrTable[[#This Row],[Is Naked Short]], CagrTable[[#This Row],[Qty]] * -100, 0)</f>
        <v>0</v>
      </c>
      <c r="AQ39" s="169">
        <f>IF(CagrTable[[#This Row],[Is ACB Put]], CagrTable[[#This Row],[Qty]] * -100, 0)</f>
        <v>0</v>
      </c>
      <c r="AR39" s="169">
        <f>IF(AND(CagrTable[[#This Row],[Is Short]], NOT(CagrTable[[#This Row],[Is Naked Short]])), CagrTable[[#This Row],[Qty]] * IF(CagrTable[[#This Row],[Is Option]], 100, 1), 0)</f>
        <v>200</v>
      </c>
      <c r="AS39" s="169">
        <f>SUM(CagrTable[[#This Row],[Long Share Equivalent]:[Covered Short Share Equivalent]])</f>
        <v>200</v>
      </c>
      <c r="AT39" s="169">
        <f>IF(CagrTable[[#This Row],[Is Open]], SUM(CagrTable[[#This Row],[Long Share Equivalent]:[ACB Put Share Equivalent]]), 0)</f>
        <v>0</v>
      </c>
      <c r="AU39" s="166">
        <f>IF(OR(CagrTable[[#This Row],[Is Long]], CagrTable[[#This Row],[Is DIV]]), CagrTable[[#This Row],[Acquire Date]], CagrTable[[#This Row],[Sell Date]])</f>
        <v>46135.576296296298</v>
      </c>
      <c r="AV39" s="166" t="str">
        <f>IF(NOT(CagrTable[[#This Row],[Is Option]]), IF(OR(CagrTable[[#This Row],[Is Long]], CagrTable[[#This Row],[Is DIV]]), CagrTable[[#This Row],[Sell Date]], CagrTable[[#This Row],[Acquire Date]]), "")</f>
        <v/>
      </c>
      <c r="AW39" s="166" t="str">
        <f>IF(AND(CagrTable[[#This Row],[Is Option]], CagrTable[[#This Row],[Is Open]]), IF(CagrTable[[#This Row],[Is Long Call]], CagrTable[[#This Row],[Exp Date]], MIN(MockToday, CagrTable[[#This Row],[Exp Date]])), "")</f>
        <v/>
      </c>
      <c r="AX39" s="166">
        <f>IF(AND(CagrTable[[#This Row],[Is Option]], NOT(CagrTable[[#This Row],[Is Open]])), IF(CagrTable[[#This Row],[Is Long]], CagrTable[[#This Row],[Sell Date]], CagrTable[[#This Row],[Acquire Date]]), "")</f>
        <v>46188.401145833333</v>
      </c>
      <c r="AY39" s="166" cm="1">
        <f t="array" ref="AY39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46188.401145833333</v>
      </c>
      <c r="AZ39" s="80" t="b">
        <f>IF(AND(CagrTable[[#This Row],[Visible]], CagrTable[[#This Row],[Is Open]]), OR(CagrTable[[#This Row],[Is Long]], AND(CagrTable[[#This Row],[Is Short]], CagrTable[[#This Row],[Is Naked Call]])), FALSE)</f>
        <v>0</v>
      </c>
      <c r="BA39" s="80" t="b">
        <f>AND(CagrTable[[#This Row],[Visible]], OR(NOT(CagrTable[[#This Row],[Is PLUG]]), CagrTable[[#This Row],[Plug Type]] = "MTM"))</f>
        <v>0</v>
      </c>
      <c r="BB39" s="80" t="b">
        <f>AND(CagrTable[[#This Row],[Visible]],NOT(CagrTable[[#This Row],[Is Open]]),NOT(CagrTable[[#This Row],[Plug Type]] = "MC"),CagrTable[[#This Row],[Position]]&lt;&gt;"DIV")</f>
        <v>0</v>
      </c>
      <c r="BC39" s="193">
        <f>IF(AND(CagrTable[[#This Row],[Visible]], CagrTable[[#This Row],[Plug Type]] = "MC"), CagrTable[[#This Row],[Basis]], 0)</f>
        <v>0</v>
      </c>
      <c r="BD39" s="182">
        <f>IF(CagrTable[[#This Row],[Is PLUG]], 0, CagrTable[[#This Row],[Proceeds]] - CagrTable[[#This Row],[Basis]])</f>
        <v>1088.57</v>
      </c>
      <c r="BE39" s="180">
        <f>IF(AND(OR(CagrTable[[#This Row],[Is Short Call]],CagrTable[[#This Row],[Is Short Put]])), CagrTable[[#This Row],[Proceeds]], 0)</f>
        <v>1128.6199999999999</v>
      </c>
      <c r="BF39" s="180">
        <f>IF(AND(OR(CagrTable[[#This Row],[Is Short Call]],CagrTable[[#This Row],[Is Short Put]])), CagrTable[[#This Row],[Basis]], 0)</f>
        <v>40.049999999999997</v>
      </c>
      <c r="BG39" s="173">
        <f>IF(CagrTable[[#This Row],[Covered Short Share Equivalent]] &gt; 0,-1 * CagrTable[[#This Row],[Premium Input]] / CagrTable[[#This Row],[Covered Short Share Equivalent]], 0)</f>
        <v>-5.6430999999999996</v>
      </c>
      <c r="BH39" s="173">
        <f>IF(CagrTable[[#This Row],[Covered Short Share Equivalent]] &gt; 0, CagrTable[[#This Row],[Premium Offset Input]] / CagrTable[[#This Row],[Covered Short Share Equivalent]], 0)</f>
        <v>0.20024999999999998</v>
      </c>
      <c r="BI39" s="173">
        <f>SUM(CagrTable[[#This Row],[Premium ACB]:[Premium Offset ACB]])</f>
        <v>-5.44285</v>
      </c>
      <c r="BJ39" s="173">
        <f>IF(CagrTable[[#This Row],[Is Naked Short]],-1 * CagrTable[[#This Row],[Strike Price]] - (CagrTable[[#This Row],[Proceeds]] / CagrTable[[#This Row],[Naked Short Share Equivalent]]), 0)</f>
        <v>0</v>
      </c>
      <c r="BK39" s="173">
        <f>IF(CagrTable[[#This Row],[Is Short Put]], CagrTable[[#This Row],[Strike Price]] + CagrTable[[#This Row],[Net Short Premium ACB]], 0)</f>
        <v>59.55715</v>
      </c>
      <c r="BL39" s="173">
        <f>IF(AND(CagrTable[[#This Row],[Is Long Call]], NOT(CagrTable[[#This Row],[Is PLUG]])), -1 * CagrTable[[#This Row],[P&amp;L]]/(CagrTable[[#This Row],[Qty]] * 100), 0)</f>
        <v>0</v>
      </c>
      <c r="BM39" s="173">
        <f>IF(AND(NOT(CagrTable[[#This Row],[Is Option]]), NOT(CagrTable[[#This Row],[Is PLUG]]), OR(CagrTable[[#This Row],[Is Open]], CagrTable[[#This Row],[Is DIV]]), N(CagrTable[[#This Row],[Qty]])&lt;&gt;0), -CagrTable[[#This Row],[P&amp;L]]/CagrTable[[#This Row],[Qty]], 0)</f>
        <v>0</v>
      </c>
      <c r="BN39" s="173" t="b">
        <f>AND(_Total_ACB_Shares&lt;&gt;0, NOT(CagrTable[[#This Row],[Is PLUG]]))</f>
        <v>0</v>
      </c>
      <c r="BO39" s="173">
        <f>IF(OR(_Total_ACB_Shares=0, CagrTable[[#This Row],[Is PLUG]]), 0, (CagrTable[[#This Row],[ACB]] * CagrTable[[#This Row],[Qty]] * IF(CagrTable[[#This Row],[Is Option]], 100, 1))/ _Total_ACB_Shares)</f>
        <v>0</v>
      </c>
      <c r="BP39" s="184">
        <f t="shared" si="2"/>
        <v>1</v>
      </c>
      <c r="BQ39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-5.44285</v>
      </c>
      <c r="BR39" s="174">
        <f>CagrTable[[#This Row],[Prelim Weighted ACB]] * CagrTable[[#This Row],[ACB Sign]]</f>
        <v>0</v>
      </c>
      <c r="BS39" s="62">
        <f>CagrTable[[#This Row],[Proceeds]] - CagrTable[[#This Row],[Basis]]</f>
        <v>1088.57</v>
      </c>
      <c r="BT39" s="91" t="s">
        <v>79</v>
      </c>
      <c r="BU39" s="63" t="s">
        <v>62</v>
      </c>
      <c r="BV39" s="63" t="s">
        <v>71</v>
      </c>
      <c r="BW39" s="63" t="s">
        <v>87</v>
      </c>
      <c r="BX39" s="27"/>
      <c r="BY39" s="58">
        <v>62.5</v>
      </c>
      <c r="BZ39" s="58">
        <v>5.65</v>
      </c>
      <c r="CA39" s="100">
        <v>46135.576296296298</v>
      </c>
      <c r="CB39" s="58">
        <v>7.05</v>
      </c>
      <c r="CC39" s="58">
        <v>4.8099999999999996</v>
      </c>
      <c r="CD39" s="65">
        <v>37</v>
      </c>
      <c r="CE39" s="82"/>
      <c r="CF39" s="66" t="s">
        <v>73</v>
      </c>
      <c r="CG39" s="58"/>
      <c r="CH39" s="66" t="s">
        <v>318</v>
      </c>
      <c r="CI39" s="66" t="s">
        <v>69</v>
      </c>
      <c r="CJ39" s="66"/>
      <c r="CK39" s="58">
        <v>0</v>
      </c>
      <c r="CL39" s="58">
        <v>0.2</v>
      </c>
      <c r="CM39" s="64">
        <v>46188.401145833333</v>
      </c>
      <c r="CN39" s="58">
        <v>0.5</v>
      </c>
      <c r="CO39" s="58">
        <v>0.14000000000000001</v>
      </c>
      <c r="CP39" s="67">
        <v>83</v>
      </c>
      <c r="CQ39" s="82"/>
      <c r="CR39" s="58" t="s">
        <v>73</v>
      </c>
      <c r="CS39" s="58"/>
      <c r="CT39" s="66" t="s">
        <v>352</v>
      </c>
      <c r="CU39" s="68"/>
      <c r="CV39" s="181" t="s">
        <v>319</v>
      </c>
      <c r="DC39" s="19"/>
      <c r="DL39" s="13"/>
    </row>
    <row r="40" spans="1:116" ht="12.75" hidden="1" customHeight="1">
      <c r="A40" s="69" t="s">
        <v>97</v>
      </c>
      <c r="B40" s="189" t="s">
        <v>67</v>
      </c>
      <c r="C40" s="88">
        <v>6</v>
      </c>
      <c r="D40" s="70">
        <v>20</v>
      </c>
      <c r="E40" s="1" t="str">
        <f>CONCATENATE(CagrTable[[#This Row],[Symbol]], CagrTable[[#This Row],[ID]])</f>
        <v>FCX20</v>
      </c>
      <c r="F40" s="55" t="s">
        <v>61</v>
      </c>
      <c r="G40" s="56">
        <v>46190.570868055554</v>
      </c>
      <c r="H40" s="58">
        <v>132.13999999999999</v>
      </c>
      <c r="I40" s="57">
        <f>IF(ISNUMBER(CagrTable[[#This Row],[Qty]]),CagrTable[[#This Row],[Basis]] /CagrTable[[#This Row],[Qty]], "")</f>
        <v>22.02333333333333</v>
      </c>
      <c r="J40" s="56">
        <v>46170.508993055555</v>
      </c>
      <c r="K40" s="58">
        <v>368.05</v>
      </c>
      <c r="L40" s="78">
        <f>IF(ISNUMBER(CagrTable[[#This Row],[Qty]]),CagrTable[[#This Row],[Proceeds]] / CagrTable[[#This Row],[Qty]], "")</f>
        <v>61.341666666666669</v>
      </c>
      <c r="M40" s="77">
        <f>IF(CagrTable[[#This Row],[Is Open]], CagrTable[[#This Row],[Date Opened]], CagrTable[[#This Row],[Date Closed]])</f>
        <v>46190.570868055554</v>
      </c>
      <c r="N40" s="101"/>
      <c r="O40"/>
      <c r="P40" s="177"/>
      <c r="Q40" s="176"/>
      <c r="R40" s="71">
        <f>IF(CagrTable[[#This Row],[Sell Date]]=CagrTable[[#This Row],[Acquire Date]], 1, ABS(CagrTable[[#This Row],[Sell Date]] - CagrTable[[#This Row],[Acquire Date]]))</f>
        <v>20.061874999999418</v>
      </c>
      <c r="S40" s="72">
        <f>CagrTable[[#This Row],[Days Held]] / 30</f>
        <v>0.66872916666664728</v>
      </c>
      <c r="T40" s="178">
        <v>3.95</v>
      </c>
      <c r="U40" s="179">
        <v>0.14000000000000001</v>
      </c>
      <c r="V40" s="158">
        <v>46191.729166666664</v>
      </c>
      <c r="W40" s="60">
        <v>75</v>
      </c>
      <c r="X40" s="75" t="s">
        <v>68</v>
      </c>
      <c r="Y40" s="61" t="s">
        <v>337</v>
      </c>
      <c r="Z40" s="85" t="str">
        <f>IF(OR(CagrTable[[#This Row],[Is Closed]]="", CagrTable[[#This Row],[Is Closed]]="H"),"Y","")</f>
        <v/>
      </c>
      <c r="AA40" s="85" t="str">
        <f>IF(OR(CagrTable[[#This Row],[Position]]="LNG",CagrTable[[#This Row],[Position]]="SHRT"),"Equity","Option")</f>
        <v>Option</v>
      </c>
      <c r="AB40" s="84" t="str">
        <f>IF(CagrTable[[#This Row],[Pricing Update Included]]="Y",IF(CagrTable[[#This Row],[Pricing Update Asset]]="Equity",CagrTable[[#This Row],[Symbol]],CagrTable[[#This Row],[Option Symbol]]),"")</f>
        <v/>
      </c>
      <c r="AC40" s="80">
        <f>SUBTOTAL(103,CagrTable[[#This Row],[Symbol]])</f>
        <v>0</v>
      </c>
      <c r="AD40" s="80" t="b">
        <f>LEFT(CagrTable[[#This Row],[Position]],1)="L"</f>
        <v>0</v>
      </c>
      <c r="AE40" s="80" t="b">
        <f>LEFT(CagrTable[[#This Row],[Position]],1)="S"</f>
        <v>1</v>
      </c>
      <c r="AF40" s="80" t="b">
        <f>(CagrTable[[#This Row],[Position]] = "DIV")</f>
        <v>0</v>
      </c>
      <c r="AG40" s="80" t="b">
        <f>CagrTable[[#This Row],[Position]] = "PLUG"</f>
        <v>0</v>
      </c>
      <c r="AH40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0</v>
      </c>
      <c r="AI40" s="80" t="b">
        <f>CagrTable[[#This Row],[Is Closed]] &lt;&gt; "Y"</f>
        <v>0</v>
      </c>
      <c r="AJ40" s="84" t="b">
        <f>OR(CagrTable[[#This Row],[Option Type]]&lt;&gt;"",
  CagrTable[[#This Row],[Position]]="LC", CagrTable[[#This Row],[Position]]="SC",
  CagrTable[[#This Row],[Position]]="LP",CagrTable[[#This Row],[Position]]="SP"
)</f>
        <v>1</v>
      </c>
      <c r="AK40" s="84" t="b">
        <f>AND(CagrTable[[#This Row],[Option Type]] = "C", CagrTable[[#This Row],[Is Short]])</f>
        <v>1</v>
      </c>
      <c r="AL40" s="84" t="b">
        <f>AND(CagrTable[[#This Row],[Is Short Call]],CagrTable[[#This Row],[Is Naked Call]] = TRUE)</f>
        <v>0</v>
      </c>
      <c r="AM40" s="84" t="b">
        <f>AND(CagrTable[[#This Row],[Option Type]] = "P", CagrTable[[#This Row],[Is Short]])</f>
        <v>0</v>
      </c>
      <c r="AN40" s="84" t="b">
        <f>CagrTable[[#This Row],[Position]]= "LC"</f>
        <v>0</v>
      </c>
      <c r="AO40" s="169">
        <f>IF(AND(CagrTable[[#This Row],[Is Long]], NOT(CagrTable[[#This Row],[Position]]="LP")), CagrTable[[#This Row],[Qty]] * IF(CagrTable[[#This Row],[Is Option]], 100, 1), 0)</f>
        <v>0</v>
      </c>
      <c r="AP40" s="169">
        <f>IF(CagrTable[[#This Row],[Is Naked Short]], CagrTable[[#This Row],[Qty]] * -100, 0)</f>
        <v>0</v>
      </c>
      <c r="AQ40" s="169">
        <f>IF(CagrTable[[#This Row],[Is ACB Put]], CagrTable[[#This Row],[Qty]] * -100, 0)</f>
        <v>0</v>
      </c>
      <c r="AR40" s="169">
        <f>IF(AND(CagrTable[[#This Row],[Is Short]], NOT(CagrTable[[#This Row],[Is Naked Short]])), CagrTable[[#This Row],[Qty]] * IF(CagrTable[[#This Row],[Is Option]], 100, 1), 0)</f>
        <v>600</v>
      </c>
      <c r="AS40" s="169">
        <f>SUM(CagrTable[[#This Row],[Long Share Equivalent]:[Covered Short Share Equivalent]])</f>
        <v>600</v>
      </c>
      <c r="AT40" s="169">
        <f>IF(CagrTable[[#This Row],[Is Open]], SUM(CagrTable[[#This Row],[Long Share Equivalent]:[ACB Put Share Equivalent]]), 0)</f>
        <v>0</v>
      </c>
      <c r="AU40" s="166">
        <f>IF(OR(CagrTable[[#This Row],[Is Long]], CagrTable[[#This Row],[Is DIV]]), CagrTable[[#This Row],[Acquire Date]], CagrTable[[#This Row],[Sell Date]])</f>
        <v>46170.508993055555</v>
      </c>
      <c r="AV40" s="166" t="str">
        <f>IF(NOT(CagrTable[[#This Row],[Is Option]]), IF(OR(CagrTable[[#This Row],[Is Long]], CagrTable[[#This Row],[Is DIV]]), CagrTable[[#This Row],[Sell Date]], CagrTable[[#This Row],[Acquire Date]]), "")</f>
        <v/>
      </c>
      <c r="AW40" s="166" t="str">
        <f>IF(AND(CagrTable[[#This Row],[Is Option]], CagrTable[[#This Row],[Is Open]]), IF(CagrTable[[#This Row],[Is Long Call]], CagrTable[[#This Row],[Exp Date]], MIN(MockToday, CagrTable[[#This Row],[Exp Date]])), "")</f>
        <v/>
      </c>
      <c r="AX40" s="166">
        <f>IF(AND(CagrTable[[#This Row],[Is Option]], NOT(CagrTable[[#This Row],[Is Open]])), IF(CagrTable[[#This Row],[Is Long]], CagrTable[[#This Row],[Sell Date]], CagrTable[[#This Row],[Acquire Date]]), "")</f>
        <v>46190.570868055554</v>
      </c>
      <c r="AY40" s="166" cm="1">
        <f t="array" ref="AY40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46190.570868055554</v>
      </c>
      <c r="AZ40" s="80" t="b">
        <f>IF(AND(CagrTable[[#This Row],[Visible]], CagrTable[[#This Row],[Is Open]]), OR(CagrTable[[#This Row],[Is Long]], AND(CagrTable[[#This Row],[Is Short]], CagrTable[[#This Row],[Is Naked Call]])), FALSE)</f>
        <v>0</v>
      </c>
      <c r="BA40" s="80" t="b">
        <f>AND(CagrTable[[#This Row],[Visible]], OR(NOT(CagrTable[[#This Row],[Is PLUG]]), CagrTable[[#This Row],[Plug Type]] = "MTM"))</f>
        <v>0</v>
      </c>
      <c r="BB40" s="80" t="b">
        <f>AND(CagrTable[[#This Row],[Visible]],NOT(CagrTable[[#This Row],[Is Open]]),NOT(CagrTable[[#This Row],[Plug Type]] = "MC"),CagrTable[[#This Row],[Position]]&lt;&gt;"DIV")</f>
        <v>0</v>
      </c>
      <c r="BC40" s="193">
        <f>IF(AND(CagrTable[[#This Row],[Visible]], CagrTable[[#This Row],[Plug Type]] = "MC"), CagrTable[[#This Row],[Basis]], 0)</f>
        <v>0</v>
      </c>
      <c r="BD40" s="182">
        <f>IF(CagrTable[[#This Row],[Is PLUG]], 0, CagrTable[[#This Row],[Proceeds]] - CagrTable[[#This Row],[Basis]])</f>
        <v>235.91000000000003</v>
      </c>
      <c r="BE40" s="180">
        <f>IF(AND(OR(CagrTable[[#This Row],[Is Short Call]],CagrTable[[#This Row],[Is Short Put]])), CagrTable[[#This Row],[Proceeds]], 0)</f>
        <v>368.05</v>
      </c>
      <c r="BF40" s="180">
        <f>IF(AND(OR(CagrTable[[#This Row],[Is Short Call]],CagrTable[[#This Row],[Is Short Put]])), CagrTable[[#This Row],[Basis]], 0)</f>
        <v>132.13999999999999</v>
      </c>
      <c r="BG40" s="173">
        <f>IF(CagrTable[[#This Row],[Covered Short Share Equivalent]] &gt; 0,-1 * CagrTable[[#This Row],[Premium Input]] / CagrTable[[#This Row],[Covered Short Share Equivalent]], 0)</f>
        <v>-0.61341666666666672</v>
      </c>
      <c r="BH40" s="173">
        <f>IF(CagrTable[[#This Row],[Covered Short Share Equivalent]] &gt; 0, CagrTable[[#This Row],[Premium Offset Input]] / CagrTable[[#This Row],[Covered Short Share Equivalent]], 0)</f>
        <v>0.22023333333333331</v>
      </c>
      <c r="BI40" s="173">
        <f>SUM(CagrTable[[#This Row],[Premium ACB]:[Premium Offset ACB]])</f>
        <v>-0.39318333333333344</v>
      </c>
      <c r="BJ40" s="173">
        <f>IF(CagrTable[[#This Row],[Is Naked Short]],-1 * CagrTable[[#This Row],[Strike Price]] - (CagrTable[[#This Row],[Proceeds]] / CagrTable[[#This Row],[Naked Short Share Equivalent]]), 0)</f>
        <v>0</v>
      </c>
      <c r="BK40" s="173">
        <f>IF(CagrTable[[#This Row],[Is Short Put]], CagrTable[[#This Row],[Strike Price]] + CagrTable[[#This Row],[Net Short Premium ACB]], 0)</f>
        <v>0</v>
      </c>
      <c r="BL40" s="173">
        <f>IF(AND(CagrTable[[#This Row],[Is Long Call]], NOT(CagrTable[[#This Row],[Is PLUG]])), -1 * CagrTable[[#This Row],[P&amp;L]]/(CagrTable[[#This Row],[Qty]] * 100), 0)</f>
        <v>0</v>
      </c>
      <c r="BM40" s="173">
        <f>IF(AND(NOT(CagrTable[[#This Row],[Is Option]]), NOT(CagrTable[[#This Row],[Is PLUG]]), OR(CagrTable[[#This Row],[Is Open]], CagrTable[[#This Row],[Is DIV]]), N(CagrTable[[#This Row],[Qty]])&lt;&gt;0), -CagrTable[[#This Row],[P&amp;L]]/CagrTable[[#This Row],[Qty]], 0)</f>
        <v>0</v>
      </c>
      <c r="BN40" s="173" t="b">
        <f>AND(_Total_ACB_Shares&lt;&gt;0, NOT(CagrTable[[#This Row],[Is PLUG]]))</f>
        <v>0</v>
      </c>
      <c r="BO40" s="173">
        <f>IF(OR(_Total_ACB_Shares=0, CagrTable[[#This Row],[Is PLUG]]), 0, (CagrTable[[#This Row],[ACB]] * CagrTable[[#This Row],[Qty]] * IF(CagrTable[[#This Row],[Is Option]], 100, 1))/ _Total_ACB_Shares)</f>
        <v>0</v>
      </c>
      <c r="BP40" s="184">
        <f t="shared" si="2"/>
        <v>1</v>
      </c>
      <c r="BQ40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-0.39318333333333344</v>
      </c>
      <c r="BR40" s="174">
        <f>CagrTable[[#This Row],[Prelim Weighted ACB]] * CagrTable[[#This Row],[ACB Sign]]</f>
        <v>0</v>
      </c>
      <c r="BS40" s="62">
        <f>CagrTable[[#This Row],[Proceeds]] - CagrTable[[#This Row],[Basis]]</f>
        <v>235.91000000000003</v>
      </c>
      <c r="BT40" s="91" t="s">
        <v>70</v>
      </c>
      <c r="BU40" s="63" t="s">
        <v>62</v>
      </c>
      <c r="BV40" s="63" t="s">
        <v>71</v>
      </c>
      <c r="BW40" s="63" t="s">
        <v>87</v>
      </c>
      <c r="BX40" s="27"/>
      <c r="BY40" s="58">
        <v>64.8</v>
      </c>
      <c r="BZ40" s="58">
        <v>0.62</v>
      </c>
      <c r="CA40" s="100">
        <v>46170.508993055555</v>
      </c>
      <c r="CB40" s="58">
        <v>0.85</v>
      </c>
      <c r="CC40" s="58">
        <v>0.5</v>
      </c>
      <c r="CD40" s="65">
        <v>34</v>
      </c>
      <c r="CE40" s="83"/>
      <c r="CF40" s="66" t="s">
        <v>73</v>
      </c>
      <c r="CG40" s="58"/>
      <c r="CH40" s="66" t="s">
        <v>338</v>
      </c>
      <c r="CI40" s="66" t="s">
        <v>69</v>
      </c>
      <c r="CJ40" s="66"/>
      <c r="CK40" s="58">
        <v>72.22</v>
      </c>
      <c r="CL40" s="58">
        <v>0.22</v>
      </c>
      <c r="CM40" s="64">
        <v>46190.570868055554</v>
      </c>
      <c r="CN40" s="58">
        <v>0.3</v>
      </c>
      <c r="CO40" s="58">
        <v>0.03</v>
      </c>
      <c r="CP40" s="67">
        <v>29</v>
      </c>
      <c r="CQ40" s="82"/>
      <c r="CR40" s="58" t="s">
        <v>73</v>
      </c>
      <c r="CS40" s="58"/>
      <c r="CT40" s="66" t="s">
        <v>353</v>
      </c>
      <c r="CU40" s="73"/>
      <c r="CV40" s="181" t="s">
        <v>339</v>
      </c>
      <c r="DC40" s="19"/>
      <c r="DL40" s="13"/>
    </row>
    <row r="41" spans="1:116" ht="12.75" hidden="1" customHeight="1">
      <c r="A41" s="69" t="s">
        <v>97</v>
      </c>
      <c r="B41" s="189" t="s">
        <v>67</v>
      </c>
      <c r="C41" s="88">
        <v>6</v>
      </c>
      <c r="D41" s="70">
        <v>20</v>
      </c>
      <c r="E41" s="1" t="str">
        <f>CONCATENATE(CagrTable[[#This Row],[Symbol]], CagrTable[[#This Row],[ID]])</f>
        <v>FCX20</v>
      </c>
      <c r="F41" s="55" t="s">
        <v>61</v>
      </c>
      <c r="G41" s="56">
        <v>46199.729166666664</v>
      </c>
      <c r="H41" s="58">
        <v>0</v>
      </c>
      <c r="I41" s="57">
        <f>IF(ISNUMBER(CagrTable[[#This Row],[Qty]]),CagrTable[[#This Row],[Basis]] /CagrTable[[#This Row],[Qty]], "")</f>
        <v>0</v>
      </c>
      <c r="J41" s="56">
        <v>46195.594641203701</v>
      </c>
      <c r="K41" s="58">
        <v>391.96</v>
      </c>
      <c r="L41" s="78">
        <f>IF(ISNUMBER(CagrTable[[#This Row],[Qty]]),CagrTable[[#This Row],[Proceeds]] / CagrTable[[#This Row],[Qty]], "")</f>
        <v>65.326666666666668</v>
      </c>
      <c r="M41" s="77">
        <f>IF(CagrTable[[#This Row],[Is Open]], CagrTable[[#This Row],[Date Opened]], CagrTable[[#This Row],[Date Closed]])</f>
        <v>46199.729166666664</v>
      </c>
      <c r="N41" s="101"/>
      <c r="O41"/>
      <c r="P41" s="177"/>
      <c r="Q41" s="176"/>
      <c r="R41" s="71">
        <f>IF(CagrTable[[#This Row],[Sell Date]]=CagrTable[[#This Row],[Acquire Date]], 1, ABS(CagrTable[[#This Row],[Sell Date]] - CagrTable[[#This Row],[Acquire Date]]))</f>
        <v>4.1345254629632109</v>
      </c>
      <c r="S41" s="72">
        <f>CagrTable[[#This Row],[Days Held]] / 30</f>
        <v>0.13781751543210702</v>
      </c>
      <c r="T41" s="178">
        <v>4.04</v>
      </c>
      <c r="U41" s="179"/>
      <c r="V41" s="158">
        <v>46199.729166666664</v>
      </c>
      <c r="W41" s="60">
        <v>73</v>
      </c>
      <c r="X41" s="75" t="s">
        <v>68</v>
      </c>
      <c r="Y41" s="61" t="s">
        <v>364</v>
      </c>
      <c r="Z41" s="85" t="str">
        <f>IF(OR(CagrTable[[#This Row],[Is Closed]]="", CagrTable[[#This Row],[Is Closed]]="H"),"Y","")</f>
        <v/>
      </c>
      <c r="AA41" s="85" t="str">
        <f>IF(OR(CagrTable[[#This Row],[Position]]="LNG",CagrTable[[#This Row],[Position]]="SHRT"),"Equity","Option")</f>
        <v>Option</v>
      </c>
      <c r="AB41" s="84" t="str">
        <f>IF(CagrTable[[#This Row],[Pricing Update Included]]="Y",IF(CagrTable[[#This Row],[Pricing Update Asset]]="Equity",CagrTable[[#This Row],[Symbol]],CagrTable[[#This Row],[Option Symbol]]),"")</f>
        <v/>
      </c>
      <c r="AC41" s="80">
        <f>SUBTOTAL(103,CagrTable[[#This Row],[Symbol]])</f>
        <v>0</v>
      </c>
      <c r="AD41" s="80" t="b">
        <f>LEFT(CagrTable[[#This Row],[Position]],1)="L"</f>
        <v>0</v>
      </c>
      <c r="AE41" s="80" t="b">
        <f>LEFT(CagrTable[[#This Row],[Position]],1)="S"</f>
        <v>1</v>
      </c>
      <c r="AF41" s="80" t="b">
        <f>(CagrTable[[#This Row],[Position]] = "DIV")</f>
        <v>0</v>
      </c>
      <c r="AG41" s="80" t="b">
        <f>CagrTable[[#This Row],[Position]] = "PLUG"</f>
        <v>0</v>
      </c>
      <c r="AH41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0</v>
      </c>
      <c r="AI41" s="80" t="b">
        <f>CagrTable[[#This Row],[Is Closed]] &lt;&gt; "Y"</f>
        <v>0</v>
      </c>
      <c r="AJ41" s="84" t="b">
        <f>OR(CagrTable[[#This Row],[Option Type]]&lt;&gt;"",
  CagrTable[[#This Row],[Position]]="LC", CagrTable[[#This Row],[Position]]="SC",
  CagrTable[[#This Row],[Position]]="LP",CagrTable[[#This Row],[Position]]="SP"
)</f>
        <v>1</v>
      </c>
      <c r="AK41" s="84" t="b">
        <f>AND(CagrTable[[#This Row],[Option Type]] = "C", CagrTable[[#This Row],[Is Short]])</f>
        <v>1</v>
      </c>
      <c r="AL41" s="84" t="b">
        <f>AND(CagrTable[[#This Row],[Is Short Call]],CagrTable[[#This Row],[Is Naked Call]] = TRUE)</f>
        <v>0</v>
      </c>
      <c r="AM41" s="84" t="b">
        <f>AND(CagrTable[[#This Row],[Option Type]] = "P", CagrTable[[#This Row],[Is Short]])</f>
        <v>0</v>
      </c>
      <c r="AN41" s="84" t="b">
        <f>CagrTable[[#This Row],[Position]]= "LC"</f>
        <v>0</v>
      </c>
      <c r="AO41" s="169">
        <f>IF(AND(CagrTable[[#This Row],[Is Long]], NOT(CagrTable[[#This Row],[Position]]="LP")), CagrTable[[#This Row],[Qty]] * IF(CagrTable[[#This Row],[Is Option]], 100, 1), 0)</f>
        <v>0</v>
      </c>
      <c r="AP41" s="169">
        <f>IF(CagrTable[[#This Row],[Is Naked Short]], CagrTable[[#This Row],[Qty]] * -100, 0)</f>
        <v>0</v>
      </c>
      <c r="AQ41" s="169">
        <f>IF(CagrTable[[#This Row],[Is ACB Put]], CagrTable[[#This Row],[Qty]] * -100, 0)</f>
        <v>0</v>
      </c>
      <c r="AR41" s="169">
        <f>IF(AND(CagrTable[[#This Row],[Is Short]], NOT(CagrTable[[#This Row],[Is Naked Short]])), CagrTable[[#This Row],[Qty]] * IF(CagrTable[[#This Row],[Is Option]], 100, 1), 0)</f>
        <v>600</v>
      </c>
      <c r="AS41" s="169">
        <f>SUM(CagrTable[[#This Row],[Long Share Equivalent]:[Covered Short Share Equivalent]])</f>
        <v>600</v>
      </c>
      <c r="AT41" s="169">
        <f>IF(CagrTable[[#This Row],[Is Open]], SUM(CagrTable[[#This Row],[Long Share Equivalent]:[ACB Put Share Equivalent]]), 0)</f>
        <v>0</v>
      </c>
      <c r="AU41" s="166">
        <f>IF(OR(CagrTable[[#This Row],[Is Long]], CagrTable[[#This Row],[Is DIV]]), CagrTable[[#This Row],[Acquire Date]], CagrTable[[#This Row],[Sell Date]])</f>
        <v>46195.594641203701</v>
      </c>
      <c r="AV41" s="166" t="str">
        <f>IF(NOT(CagrTable[[#This Row],[Is Option]]), IF(OR(CagrTable[[#This Row],[Is Long]], CagrTable[[#This Row],[Is DIV]]), CagrTable[[#This Row],[Sell Date]], CagrTable[[#This Row],[Acquire Date]]), "")</f>
        <v/>
      </c>
      <c r="AW41" s="166" t="str">
        <f>IF(AND(CagrTable[[#This Row],[Is Option]], CagrTable[[#This Row],[Is Open]]), IF(CagrTable[[#This Row],[Is Long Call]], CagrTable[[#This Row],[Exp Date]], MIN(MockToday, CagrTable[[#This Row],[Exp Date]])), "")</f>
        <v/>
      </c>
      <c r="AX41" s="166">
        <f>IF(AND(CagrTable[[#This Row],[Is Option]], NOT(CagrTable[[#This Row],[Is Open]])), IF(CagrTable[[#This Row],[Is Long]], CagrTable[[#This Row],[Sell Date]], CagrTable[[#This Row],[Acquire Date]]), "")</f>
        <v>46199.729166666664</v>
      </c>
      <c r="AY41" s="166" cm="1">
        <f t="array" ref="AY41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46199.729166666664</v>
      </c>
      <c r="AZ41" s="80" t="b">
        <f>IF(AND(CagrTable[[#This Row],[Visible]], CagrTable[[#This Row],[Is Open]]), OR(CagrTable[[#This Row],[Is Long]], AND(CagrTable[[#This Row],[Is Short]], CagrTable[[#This Row],[Is Naked Call]])), FALSE)</f>
        <v>0</v>
      </c>
      <c r="BA41" s="80" t="b">
        <f>AND(CagrTable[[#This Row],[Visible]], OR(NOT(CagrTable[[#This Row],[Is PLUG]]), CagrTable[[#This Row],[Plug Type]] = "MTM"))</f>
        <v>0</v>
      </c>
      <c r="BB41" s="80" t="b">
        <f>AND(CagrTable[[#This Row],[Visible]],NOT(CagrTable[[#This Row],[Is Open]]),NOT(CagrTable[[#This Row],[Plug Type]] = "MC"),CagrTable[[#This Row],[Position]]&lt;&gt;"DIV")</f>
        <v>0</v>
      </c>
      <c r="BC41" s="193">
        <f>IF(AND(CagrTable[[#This Row],[Visible]], CagrTable[[#This Row],[Plug Type]] = "MC"), CagrTable[[#This Row],[Basis]], 0)</f>
        <v>0</v>
      </c>
      <c r="BD41" s="182">
        <f>IF(CagrTable[[#This Row],[Is PLUG]], 0, CagrTable[[#This Row],[Proceeds]] - CagrTable[[#This Row],[Basis]])</f>
        <v>391.96</v>
      </c>
      <c r="BE41" s="180">
        <f>IF(AND(OR(CagrTable[[#This Row],[Is Short Call]],CagrTable[[#This Row],[Is Short Put]])), CagrTable[[#This Row],[Proceeds]], 0)</f>
        <v>391.96</v>
      </c>
      <c r="BF41" s="180">
        <f>IF(AND(OR(CagrTable[[#This Row],[Is Short Call]],CagrTable[[#This Row],[Is Short Put]])), CagrTable[[#This Row],[Basis]], 0)</f>
        <v>0</v>
      </c>
      <c r="BG41" s="173">
        <f>IF(CagrTable[[#This Row],[Covered Short Share Equivalent]] &gt; 0,-1 * CagrTable[[#This Row],[Premium Input]] / CagrTable[[#This Row],[Covered Short Share Equivalent]], 0)</f>
        <v>-0.65326666666666666</v>
      </c>
      <c r="BH41" s="173">
        <f>IF(CagrTable[[#This Row],[Covered Short Share Equivalent]] &gt; 0, CagrTable[[#This Row],[Premium Offset Input]] / CagrTable[[#This Row],[Covered Short Share Equivalent]], 0)</f>
        <v>0</v>
      </c>
      <c r="BI41" s="173">
        <f>SUM(CagrTable[[#This Row],[Premium ACB]:[Premium Offset ACB]])</f>
        <v>-0.65326666666666666</v>
      </c>
      <c r="BJ41" s="173">
        <f>IF(CagrTable[[#This Row],[Is Naked Short]],-1 * CagrTable[[#This Row],[Strike Price]] - (CagrTable[[#This Row],[Proceeds]] / CagrTable[[#This Row],[Naked Short Share Equivalent]]), 0)</f>
        <v>0</v>
      </c>
      <c r="BK41" s="173">
        <f>IF(CagrTable[[#This Row],[Is Short Put]], CagrTable[[#This Row],[Strike Price]] + CagrTable[[#This Row],[Net Short Premium ACB]], 0)</f>
        <v>0</v>
      </c>
      <c r="BL41" s="173">
        <f>IF(AND(CagrTable[[#This Row],[Is Long Call]], NOT(CagrTable[[#This Row],[Is PLUG]])), -1 * CagrTable[[#This Row],[P&amp;L]]/(CagrTable[[#This Row],[Qty]] * 100), 0)</f>
        <v>0</v>
      </c>
      <c r="BM41" s="173">
        <f>IF(AND(NOT(CagrTable[[#This Row],[Is Option]]), NOT(CagrTable[[#This Row],[Is PLUG]]), OR(CagrTable[[#This Row],[Is Open]], CagrTable[[#This Row],[Is DIV]]), N(CagrTable[[#This Row],[Qty]])&lt;&gt;0), -CagrTable[[#This Row],[P&amp;L]]/CagrTable[[#This Row],[Qty]], 0)</f>
        <v>0</v>
      </c>
      <c r="BN41" s="173" t="b">
        <f>AND(_Total_ACB_Shares&lt;&gt;0, NOT(CagrTable[[#This Row],[Is PLUG]]))</f>
        <v>0</v>
      </c>
      <c r="BO41" s="173">
        <f>IF(OR(_Total_ACB_Shares=0, CagrTable[[#This Row],[Is PLUG]]), 0, (CagrTable[[#This Row],[ACB]] * CagrTable[[#This Row],[Qty]] * IF(CagrTable[[#This Row],[Is Option]], 100, 1))/ _Total_ACB_Shares)</f>
        <v>0</v>
      </c>
      <c r="BP41" s="184">
        <f t="shared" si="2"/>
        <v>1</v>
      </c>
      <c r="BQ41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-0.65326666666666666</v>
      </c>
      <c r="BR41" s="174">
        <f>CagrTable[[#This Row],[Prelim Weighted ACB]] * CagrTable[[#This Row],[ACB Sign]]</f>
        <v>0</v>
      </c>
      <c r="BS41" s="62">
        <f>CagrTable[[#This Row],[Proceeds]] - CagrTable[[#This Row],[Basis]]</f>
        <v>391.96</v>
      </c>
      <c r="BT41" s="91" t="s">
        <v>70</v>
      </c>
      <c r="BU41" s="63" t="s">
        <v>62</v>
      </c>
      <c r="BV41" s="63" t="s">
        <v>71</v>
      </c>
      <c r="BW41" s="63" t="s">
        <v>87</v>
      </c>
      <c r="BX41" s="27"/>
      <c r="BY41" s="58">
        <v>69.67</v>
      </c>
      <c r="BZ41" s="58">
        <v>0.66</v>
      </c>
      <c r="CA41" s="100">
        <v>46195.594641203701</v>
      </c>
      <c r="CB41" s="58">
        <v>0.79</v>
      </c>
      <c r="CC41" s="58">
        <v>0.43</v>
      </c>
      <c r="CD41" s="65">
        <v>63</v>
      </c>
      <c r="CE41" s="83"/>
      <c r="CF41" s="66" t="s">
        <v>73</v>
      </c>
      <c r="CG41" s="58"/>
      <c r="CH41" s="66" t="s">
        <v>365</v>
      </c>
      <c r="CI41" s="66" t="s">
        <v>65</v>
      </c>
      <c r="CJ41" s="66"/>
      <c r="CK41" s="58">
        <v>62.05</v>
      </c>
      <c r="CL41" s="58"/>
      <c r="CM41" s="64">
        <v>46199.666666666664</v>
      </c>
      <c r="CN41" s="58"/>
      <c r="CO41" s="58"/>
      <c r="CP41" s="67"/>
      <c r="CQ41" s="82"/>
      <c r="CR41" s="58"/>
      <c r="CS41" s="58"/>
      <c r="CT41" s="66" t="s">
        <v>76</v>
      </c>
      <c r="CU41" s="73"/>
      <c r="CV41" s="181" t="s">
        <v>366</v>
      </c>
      <c r="DC41" s="19"/>
      <c r="DL41" s="13"/>
    </row>
    <row r="42" spans="1:116" ht="12.75" hidden="1" customHeight="1">
      <c r="A42" s="69" t="s">
        <v>97</v>
      </c>
      <c r="B42" s="189" t="s">
        <v>78</v>
      </c>
      <c r="C42" s="88">
        <v>6</v>
      </c>
      <c r="D42" s="70">
        <v>20</v>
      </c>
      <c r="E42" s="1" t="str">
        <f>CONCATENATE(CagrTable[[#This Row],[Symbol]], CagrTable[[#This Row],[ID]])</f>
        <v>FCX20</v>
      </c>
      <c r="F42" s="55"/>
      <c r="G42" s="56">
        <v>46262.729166666664</v>
      </c>
      <c r="H42" s="58">
        <v>0</v>
      </c>
      <c r="I42" s="57">
        <f>IF(ISNUMBER(CagrTable[[#This Row],[Qty]]),CagrTable[[#This Row],[Basis]] /CagrTable[[#This Row],[Qty]], "")</f>
        <v>0</v>
      </c>
      <c r="J42" s="56">
        <v>46247.614039351851</v>
      </c>
      <c r="K42" s="58">
        <v>500.02</v>
      </c>
      <c r="L42" s="78">
        <f>IF(ISNUMBER(CagrTable[[#This Row],[Qty]]),CagrTable[[#This Row],[Proceeds]] / CagrTable[[#This Row],[Qty]], "")</f>
        <v>83.336666666666659</v>
      </c>
      <c r="M42" s="77">
        <f>IF(CagrTable[[#This Row],[Is Open]], CagrTable[[#This Row],[Date Opened]], CagrTable[[#This Row],[Date Closed]])</f>
        <v>46247.614039351851</v>
      </c>
      <c r="N42" s="101"/>
      <c r="O42"/>
      <c r="P42" s="177"/>
      <c r="Q42" s="176"/>
      <c r="R42" s="71">
        <f>IF(CagrTable[[#This Row],[Sell Date]]=CagrTable[[#This Row],[Acquire Date]], 1, ABS(CagrTable[[#This Row],[Sell Date]] - CagrTable[[#This Row],[Acquire Date]]))</f>
        <v>15.115127314813435</v>
      </c>
      <c r="S42" s="72">
        <f>CagrTable[[#This Row],[Days Held]] / 30</f>
        <v>0.50383757716044786</v>
      </c>
      <c r="T42" s="178">
        <v>3.98</v>
      </c>
      <c r="U42" s="179"/>
      <c r="V42" s="158">
        <v>46262.729166666664</v>
      </c>
      <c r="W42" s="60">
        <v>63</v>
      </c>
      <c r="X42" s="75" t="s">
        <v>83</v>
      </c>
      <c r="Y42" s="61" t="s">
        <v>449</v>
      </c>
      <c r="Z42" s="85" t="str">
        <f>IF(OR(CagrTable[[#This Row],[Is Closed]]="", CagrTable[[#This Row],[Is Closed]]="H"),"Y","")</f>
        <v>Y</v>
      </c>
      <c r="AA42" s="85" t="str">
        <f>IF(OR(CagrTable[[#This Row],[Position]]="LNG",CagrTable[[#This Row],[Position]]="SHRT"),"Equity","Option")</f>
        <v>Option</v>
      </c>
      <c r="AB42" s="84" t="str">
        <f>IF(CagrTable[[#This Row],[Pricing Update Included]]="Y",IF(CagrTable[[#This Row],[Pricing Update Asset]]="Equity",CagrTable[[#This Row],[Symbol]],CagrTable[[#This Row],[Option Symbol]]),"")</f>
        <v>FCX260828P00063000</v>
      </c>
      <c r="AC42" s="80">
        <f>SUBTOTAL(103,CagrTable[[#This Row],[Symbol]])</f>
        <v>0</v>
      </c>
      <c r="AD42" s="80" t="b">
        <f>LEFT(CagrTable[[#This Row],[Position]],1)="L"</f>
        <v>0</v>
      </c>
      <c r="AE42" s="80" t="b">
        <f>LEFT(CagrTable[[#This Row],[Position]],1)="S"</f>
        <v>1</v>
      </c>
      <c r="AF42" s="80" t="b">
        <f>(CagrTable[[#This Row],[Position]] = "DIV")</f>
        <v>0</v>
      </c>
      <c r="AG42" s="80" t="b">
        <f>CagrTable[[#This Row],[Position]] = "PLUG"</f>
        <v>0</v>
      </c>
      <c r="AH42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0</v>
      </c>
      <c r="AI42" s="80" t="b">
        <f>CagrTable[[#This Row],[Is Closed]] &lt;&gt; "Y"</f>
        <v>1</v>
      </c>
      <c r="AJ42" s="84" t="b">
        <f>OR(CagrTable[[#This Row],[Option Type]]&lt;&gt;"",
  CagrTable[[#This Row],[Position]]="LC", CagrTable[[#This Row],[Position]]="SC",
  CagrTable[[#This Row],[Position]]="LP",CagrTable[[#This Row],[Position]]="SP"
)</f>
        <v>1</v>
      </c>
      <c r="AK42" s="84" t="b">
        <f>AND(CagrTable[[#This Row],[Option Type]] = "C", CagrTable[[#This Row],[Is Short]])</f>
        <v>0</v>
      </c>
      <c r="AL42" s="84" t="b">
        <f>AND(CagrTable[[#This Row],[Is Short Call]],CagrTable[[#This Row],[Is Naked Call]] = TRUE)</f>
        <v>0</v>
      </c>
      <c r="AM42" s="84" t="b">
        <f>AND(CagrTable[[#This Row],[Option Type]] = "P", CagrTable[[#This Row],[Is Short]])</f>
        <v>1</v>
      </c>
      <c r="AN42" s="84" t="b">
        <f>CagrTable[[#This Row],[Position]]= "LC"</f>
        <v>0</v>
      </c>
      <c r="AO42" s="169">
        <f>IF(AND(CagrTable[[#This Row],[Is Long]], NOT(CagrTable[[#This Row],[Position]]="LP")), CagrTable[[#This Row],[Qty]] * IF(CagrTable[[#This Row],[Is Option]], 100, 1), 0)</f>
        <v>0</v>
      </c>
      <c r="AP42" s="169">
        <f>IF(CagrTable[[#This Row],[Is Naked Short]], CagrTable[[#This Row],[Qty]] * -100, 0)</f>
        <v>0</v>
      </c>
      <c r="AQ42" s="169">
        <f>IF(CagrTable[[#This Row],[Is ACB Put]], CagrTable[[#This Row],[Qty]] * -100, 0)</f>
        <v>0</v>
      </c>
      <c r="AR42" s="169">
        <f>IF(AND(CagrTable[[#This Row],[Is Short]], NOT(CagrTable[[#This Row],[Is Naked Short]])), CagrTable[[#This Row],[Qty]] * IF(CagrTable[[#This Row],[Is Option]], 100, 1), 0)</f>
        <v>600</v>
      </c>
      <c r="AS42" s="169">
        <f>SUM(CagrTable[[#This Row],[Long Share Equivalent]:[Covered Short Share Equivalent]])</f>
        <v>600</v>
      </c>
      <c r="AT42" s="169">
        <f>IF(CagrTable[[#This Row],[Is Open]], SUM(CagrTable[[#This Row],[Long Share Equivalent]:[ACB Put Share Equivalent]]), 0)</f>
        <v>0</v>
      </c>
      <c r="AU42" s="166">
        <f>IF(OR(CagrTable[[#This Row],[Is Long]], CagrTable[[#This Row],[Is DIV]]), CagrTable[[#This Row],[Acquire Date]], CagrTable[[#This Row],[Sell Date]])</f>
        <v>46247.614039351851</v>
      </c>
      <c r="AV42" s="166" t="str">
        <f>IF(NOT(CagrTable[[#This Row],[Is Option]]), IF(OR(CagrTable[[#This Row],[Is Long]], CagrTable[[#This Row],[Is DIV]]), CagrTable[[#This Row],[Sell Date]], CagrTable[[#This Row],[Acquire Date]]), "")</f>
        <v/>
      </c>
      <c r="AW42" s="166">
        <f ca="1">IF(AND(CagrTable[[#This Row],[Is Option]], CagrTable[[#This Row],[Is Open]]), IF(CagrTable[[#This Row],[Is Long Call]], CagrTable[[#This Row],[Exp Date]], MIN(MockToday, CagrTable[[#This Row],[Exp Date]])), "")</f>
        <v>46257</v>
      </c>
      <c r="AX42" s="166" t="str">
        <f>IF(AND(CagrTable[[#This Row],[Is Option]], NOT(CagrTable[[#This Row],[Is Open]])), IF(CagrTable[[#This Row],[Is Long]], CagrTable[[#This Row],[Sell Date]], CagrTable[[#This Row],[Acquire Date]]), "")</f>
        <v/>
      </c>
      <c r="AY42" s="166" cm="1">
        <f t="array" aca="1" ref="AY42" ca="1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46257</v>
      </c>
      <c r="AZ42" s="80" t="b">
        <f>IF(AND(CagrTable[[#This Row],[Visible]], CagrTable[[#This Row],[Is Open]]), OR(CagrTable[[#This Row],[Is Long]], AND(CagrTable[[#This Row],[Is Short]], CagrTable[[#This Row],[Is Naked Call]])), FALSE)</f>
        <v>0</v>
      </c>
      <c r="BA42" s="80" t="b">
        <f>AND(CagrTable[[#This Row],[Visible]], OR(NOT(CagrTable[[#This Row],[Is PLUG]]), CagrTable[[#This Row],[Plug Type]] = "MTM"))</f>
        <v>0</v>
      </c>
      <c r="BB42" s="80" t="b">
        <f>AND(CagrTable[[#This Row],[Visible]],NOT(CagrTable[[#This Row],[Is Open]]),NOT(CagrTable[[#This Row],[Plug Type]] = "MC"),CagrTable[[#This Row],[Position]]&lt;&gt;"DIV")</f>
        <v>0</v>
      </c>
      <c r="BC42" s="193">
        <f>IF(AND(CagrTable[[#This Row],[Visible]], CagrTable[[#This Row],[Plug Type]] = "MC"), CagrTable[[#This Row],[Basis]], 0)</f>
        <v>0</v>
      </c>
      <c r="BD42" s="182">
        <f>IF(CagrTable[[#This Row],[Is PLUG]], 0, CagrTable[[#This Row],[Proceeds]] - CagrTable[[#This Row],[Basis]])</f>
        <v>500.02</v>
      </c>
      <c r="BE42" s="180">
        <f>IF(AND(OR(CagrTable[[#This Row],[Is Short Call]],CagrTable[[#This Row],[Is Short Put]])), CagrTable[[#This Row],[Proceeds]], 0)</f>
        <v>500.02</v>
      </c>
      <c r="BF42" s="180">
        <f>IF(AND(OR(CagrTable[[#This Row],[Is Short Call]],CagrTable[[#This Row],[Is Short Put]])), CagrTable[[#This Row],[Basis]], 0)</f>
        <v>0</v>
      </c>
      <c r="BG42" s="173">
        <f>IF(CagrTable[[#This Row],[Covered Short Share Equivalent]] &gt; 0,-1 * CagrTable[[#This Row],[Premium Input]] / CagrTable[[#This Row],[Covered Short Share Equivalent]], 0)</f>
        <v>-0.83336666666666659</v>
      </c>
      <c r="BH42" s="173">
        <f>IF(CagrTable[[#This Row],[Covered Short Share Equivalent]] &gt; 0, CagrTable[[#This Row],[Premium Offset Input]] / CagrTable[[#This Row],[Covered Short Share Equivalent]], 0)</f>
        <v>0</v>
      </c>
      <c r="BI42" s="173">
        <f>SUM(CagrTable[[#This Row],[Premium ACB]:[Premium Offset ACB]])</f>
        <v>-0.83336666666666659</v>
      </c>
      <c r="BJ42" s="173">
        <f>IF(CagrTable[[#This Row],[Is Naked Short]],-1 * CagrTable[[#This Row],[Strike Price]] - (CagrTable[[#This Row],[Proceeds]] / CagrTable[[#This Row],[Naked Short Share Equivalent]]), 0)</f>
        <v>0</v>
      </c>
      <c r="BK42" s="173">
        <f>IF(CagrTable[[#This Row],[Is Short Put]], CagrTable[[#This Row],[Strike Price]] + CagrTable[[#This Row],[Net Short Premium ACB]], 0)</f>
        <v>62.166633333333337</v>
      </c>
      <c r="BL42" s="173">
        <f>IF(AND(CagrTable[[#This Row],[Is Long Call]], NOT(CagrTable[[#This Row],[Is PLUG]])), -1 * CagrTable[[#This Row],[P&amp;L]]/(CagrTable[[#This Row],[Qty]] * 100), 0)</f>
        <v>0</v>
      </c>
      <c r="BM42" s="173">
        <f>IF(AND(NOT(CagrTable[[#This Row],[Is Option]]), NOT(CagrTable[[#This Row],[Is PLUG]]), CagrTable[[#This Row],[Is Open]]), -CagrTable[[#This Row],[P&amp;L]]/CagrTable[[#This Row],[Qty]], 0)</f>
        <v>0</v>
      </c>
      <c r="BN42" s="173" t="b">
        <f>AND(_Total_ACB_Shares&lt;&gt;0, NOT(CagrTable[[#This Row],[Is PLUG]]))</f>
        <v>0</v>
      </c>
      <c r="BO42" s="173">
        <f>IF(OR(_Total_ACB_Shares=0, CagrTable[[#This Row],[Is PLUG]]), 0, (CagrTable[[#This Row],[ACB]] * CagrTable[[#This Row],[Qty]] * IF(CagrTable[[#This Row],[Is Option]], 100, 1))/ _Total_ACB_Shares)</f>
        <v>0</v>
      </c>
      <c r="BP42" s="184">
        <f t="shared" si="2"/>
        <v>1</v>
      </c>
      <c r="BQ42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-0.83336666666666659</v>
      </c>
      <c r="BR42" s="174">
        <f>CagrTable[[#This Row],[Prelim Weighted ACB]] * CagrTable[[#This Row],[ACB Sign]]</f>
        <v>0</v>
      </c>
      <c r="BS42" s="62">
        <f>CagrTable[[#This Row],[Proceeds]] - CagrTable[[#This Row],[Basis]]</f>
        <v>500.02</v>
      </c>
      <c r="BT42" s="91" t="s">
        <v>79</v>
      </c>
      <c r="BU42" s="63" t="s">
        <v>62</v>
      </c>
      <c r="BV42" s="63" t="s">
        <v>71</v>
      </c>
      <c r="BW42" s="63" t="s">
        <v>87</v>
      </c>
      <c r="BX42" s="27"/>
      <c r="BY42" s="58">
        <v>67.099999999999994</v>
      </c>
      <c r="BZ42" s="58">
        <v>0.84</v>
      </c>
      <c r="CA42" s="100">
        <v>46247.614039351851</v>
      </c>
      <c r="CB42" s="58">
        <v>0.92</v>
      </c>
      <c r="CC42" s="58">
        <v>0.71</v>
      </c>
      <c r="CD42" s="65">
        <v>61</v>
      </c>
      <c r="CE42" s="83"/>
      <c r="CF42" s="66" t="s">
        <v>73</v>
      </c>
      <c r="CG42" s="58"/>
      <c r="CH42" s="66" t="s">
        <v>450</v>
      </c>
      <c r="CI42" s="66"/>
      <c r="CJ42" s="66"/>
      <c r="CK42" s="58"/>
      <c r="CL42" s="58"/>
      <c r="CM42" s="64"/>
      <c r="CN42" s="58"/>
      <c r="CO42" s="58"/>
      <c r="CP42" s="67"/>
      <c r="CQ42" s="82"/>
      <c r="CR42" s="58"/>
      <c r="CS42" s="58"/>
      <c r="CT42" s="66"/>
      <c r="CU42" s="73"/>
      <c r="CV42" s="181" t="s">
        <v>451</v>
      </c>
      <c r="DC42" s="19"/>
      <c r="DL42" s="13"/>
    </row>
    <row r="43" spans="1:116" ht="12.75" hidden="1" customHeight="1">
      <c r="A43" s="69" t="s">
        <v>97</v>
      </c>
      <c r="B43" s="189" t="s">
        <v>67</v>
      </c>
      <c r="C43" s="88">
        <v>6</v>
      </c>
      <c r="D43" s="70">
        <v>20</v>
      </c>
      <c r="E43" s="1" t="str">
        <f>CONCATENATE(CagrTable[[#This Row],[Symbol]], CagrTable[[#This Row],[ID]])</f>
        <v>FCX20</v>
      </c>
      <c r="F43" s="55" t="s">
        <v>61</v>
      </c>
      <c r="G43" s="56">
        <v>46255.405057870368</v>
      </c>
      <c r="H43" s="58">
        <v>2535.98</v>
      </c>
      <c r="I43" s="57">
        <f>IF(ISNUMBER(CagrTable[[#This Row],[Qty]]),CagrTable[[#This Row],[Basis]] /CagrTable[[#This Row],[Qty]], "")</f>
        <v>422.66333333333336</v>
      </c>
      <c r="J43" s="56">
        <v>46237.605729166666</v>
      </c>
      <c r="K43" s="58">
        <v>380.02</v>
      </c>
      <c r="L43" s="78">
        <f>IF(ISNUMBER(CagrTable[[#This Row],[Qty]]),CagrTable[[#This Row],[Proceeds]] / CagrTable[[#This Row],[Qty]], "")</f>
        <v>63.336666666666666</v>
      </c>
      <c r="M43" s="77">
        <f>IF(CagrTable[[#This Row],[Is Open]], CagrTable[[#This Row],[Date Opened]], CagrTable[[#This Row],[Date Closed]])</f>
        <v>46255.405057870368</v>
      </c>
      <c r="N43" s="101"/>
      <c r="O43"/>
      <c r="P43" s="177"/>
      <c r="Q43" s="176"/>
      <c r="R43" s="71">
        <f>IF(CagrTable[[#This Row],[Sell Date]]=CagrTable[[#This Row],[Acquire Date]], 1, ABS(CagrTable[[#This Row],[Sell Date]] - CagrTable[[#This Row],[Acquire Date]]))</f>
        <v>17.799328703702486</v>
      </c>
      <c r="S43" s="72">
        <f>CagrTable[[#This Row],[Days Held]] / 30</f>
        <v>0.59331095679008283</v>
      </c>
      <c r="T43" s="178">
        <v>3.98</v>
      </c>
      <c r="U43" s="179">
        <v>3.98</v>
      </c>
      <c r="V43" s="158">
        <v>46255.729166666664</v>
      </c>
      <c r="W43" s="60">
        <v>72</v>
      </c>
      <c r="X43" s="75" t="s">
        <v>68</v>
      </c>
      <c r="Y43" s="61" t="s">
        <v>437</v>
      </c>
      <c r="Z43" s="85" t="str">
        <f>IF(OR(CagrTable[[#This Row],[Is Closed]]="", CagrTable[[#This Row],[Is Closed]]="H"),"Y","")</f>
        <v/>
      </c>
      <c r="AA43" s="85" t="str">
        <f>IF(OR(CagrTable[[#This Row],[Position]]="LNG",CagrTable[[#This Row],[Position]]="SHRT"),"Equity","Option")</f>
        <v>Option</v>
      </c>
      <c r="AB43" s="84" t="str">
        <f>IF(CagrTable[[#This Row],[Pricing Update Included]]="Y",IF(CagrTable[[#This Row],[Pricing Update Asset]]="Equity",CagrTable[[#This Row],[Symbol]],CagrTable[[#This Row],[Option Symbol]]),"")</f>
        <v/>
      </c>
      <c r="AC43" s="80">
        <f>SUBTOTAL(103,CagrTable[[#This Row],[Symbol]])</f>
        <v>0</v>
      </c>
      <c r="AD43" s="80" t="b">
        <f>LEFT(CagrTable[[#This Row],[Position]],1)="L"</f>
        <v>0</v>
      </c>
      <c r="AE43" s="80" t="b">
        <f>LEFT(CagrTable[[#This Row],[Position]],1)="S"</f>
        <v>1</v>
      </c>
      <c r="AF43" s="80" t="b">
        <f>(CagrTable[[#This Row],[Position]] = "DIV")</f>
        <v>0</v>
      </c>
      <c r="AG43" s="80" t="b">
        <f>CagrTable[[#This Row],[Position]] = "PLUG"</f>
        <v>0</v>
      </c>
      <c r="AH43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0</v>
      </c>
      <c r="AI43" s="80" t="b">
        <f>CagrTable[[#This Row],[Is Closed]] &lt;&gt; "Y"</f>
        <v>0</v>
      </c>
      <c r="AJ43" s="84" t="b">
        <f>OR(CagrTable[[#This Row],[Option Type]]&lt;&gt;"",
  CagrTable[[#This Row],[Position]]="LC", CagrTable[[#This Row],[Position]]="SC",
  CagrTable[[#This Row],[Position]]="LP",CagrTable[[#This Row],[Position]]="SP"
)</f>
        <v>1</v>
      </c>
      <c r="AK43" s="84" t="b">
        <f>AND(CagrTable[[#This Row],[Option Type]] = "C", CagrTable[[#This Row],[Is Short]])</f>
        <v>1</v>
      </c>
      <c r="AL43" s="84" t="b">
        <f>AND(CagrTable[[#This Row],[Is Short Call]],CagrTable[[#This Row],[Is Naked Call]] = TRUE)</f>
        <v>0</v>
      </c>
      <c r="AM43" s="84" t="b">
        <f>AND(CagrTable[[#This Row],[Option Type]] = "P", CagrTable[[#This Row],[Is Short]])</f>
        <v>0</v>
      </c>
      <c r="AN43" s="84" t="b">
        <f>CagrTable[[#This Row],[Position]]= "LC"</f>
        <v>0</v>
      </c>
      <c r="AO43" s="169">
        <f>IF(AND(CagrTable[[#This Row],[Is Long]], NOT(CagrTable[[#This Row],[Position]]="LP")), CagrTable[[#This Row],[Qty]] * IF(CagrTable[[#This Row],[Is Option]], 100, 1), 0)</f>
        <v>0</v>
      </c>
      <c r="AP43" s="169">
        <f>IF(CagrTable[[#This Row],[Is Naked Short]], CagrTable[[#This Row],[Qty]] * -100, 0)</f>
        <v>0</v>
      </c>
      <c r="AQ43" s="169">
        <f>IF(CagrTable[[#This Row],[Is ACB Put]], CagrTable[[#This Row],[Qty]] * -100, 0)</f>
        <v>0</v>
      </c>
      <c r="AR43" s="169">
        <f>IF(AND(CagrTable[[#This Row],[Is Short]], NOT(CagrTable[[#This Row],[Is Naked Short]])), CagrTable[[#This Row],[Qty]] * IF(CagrTable[[#This Row],[Is Option]], 100, 1), 0)</f>
        <v>600</v>
      </c>
      <c r="AS43" s="169">
        <f>SUM(CagrTable[[#This Row],[Long Share Equivalent]:[Covered Short Share Equivalent]])</f>
        <v>600</v>
      </c>
      <c r="AT43" s="169">
        <f>IF(CagrTable[[#This Row],[Is Open]], SUM(CagrTable[[#This Row],[Long Share Equivalent]:[ACB Put Share Equivalent]]), 0)</f>
        <v>0</v>
      </c>
      <c r="AU43" s="166">
        <f>IF(OR(CagrTable[[#This Row],[Is Long]], CagrTable[[#This Row],[Is DIV]]), CagrTable[[#This Row],[Acquire Date]], CagrTable[[#This Row],[Sell Date]])</f>
        <v>46237.605729166666</v>
      </c>
      <c r="AV43" s="166" t="str">
        <f>IF(NOT(CagrTable[[#This Row],[Is Option]]), IF(OR(CagrTable[[#This Row],[Is Long]], CagrTable[[#This Row],[Is DIV]]), CagrTable[[#This Row],[Sell Date]], CagrTable[[#This Row],[Acquire Date]]), "")</f>
        <v/>
      </c>
      <c r="AW43" s="166" t="str">
        <f>IF(AND(CagrTable[[#This Row],[Is Option]], CagrTable[[#This Row],[Is Open]]), IF(CagrTable[[#This Row],[Is Long Call]], CagrTable[[#This Row],[Exp Date]], MIN(MockToday, CagrTable[[#This Row],[Exp Date]])), "")</f>
        <v/>
      </c>
      <c r="AX43" s="166">
        <f>IF(AND(CagrTable[[#This Row],[Is Option]], NOT(CagrTable[[#This Row],[Is Open]])), IF(CagrTable[[#This Row],[Is Long]], CagrTable[[#This Row],[Sell Date]], CagrTable[[#This Row],[Acquire Date]]), "")</f>
        <v>46255.405057870368</v>
      </c>
      <c r="AY43" s="166" cm="1">
        <f t="array" ref="AY43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46255.405057870368</v>
      </c>
      <c r="AZ43" s="80" t="b">
        <f>IF(AND(CagrTable[[#This Row],[Visible]], CagrTable[[#This Row],[Is Open]]), OR(CagrTable[[#This Row],[Is Long]], AND(CagrTable[[#This Row],[Is Short]], CagrTable[[#This Row],[Is Naked Call]])), FALSE)</f>
        <v>0</v>
      </c>
      <c r="BA43" s="80" t="b">
        <f>AND(CagrTable[[#This Row],[Visible]], OR(NOT(CagrTable[[#This Row],[Is PLUG]]), CagrTable[[#This Row],[Plug Type]] = "MTM"))</f>
        <v>0</v>
      </c>
      <c r="BB43" s="80" t="b">
        <f>AND(CagrTable[[#This Row],[Visible]],NOT(CagrTable[[#This Row],[Is Open]]),NOT(CagrTable[[#This Row],[Plug Type]] = "MC"),CagrTable[[#This Row],[Position]]&lt;&gt;"DIV")</f>
        <v>0</v>
      </c>
      <c r="BC43" s="193">
        <f>IF(AND(CagrTable[[#This Row],[Visible]], CagrTable[[#This Row],[Plug Type]] = "MC"), CagrTable[[#This Row],[Basis]], 0)</f>
        <v>0</v>
      </c>
      <c r="BD43" s="182">
        <f>IF(CagrTable[[#This Row],[Is PLUG]], 0, CagrTable[[#This Row],[Proceeds]] - CagrTable[[#This Row],[Basis]])</f>
        <v>-2155.96</v>
      </c>
      <c r="BE43" s="180">
        <f>IF(AND(OR(CagrTable[[#This Row],[Is Short Call]],CagrTable[[#This Row],[Is Short Put]])), CagrTable[[#This Row],[Proceeds]], 0)</f>
        <v>380.02</v>
      </c>
      <c r="BF43" s="180">
        <f>IF(AND(OR(CagrTable[[#This Row],[Is Short Call]],CagrTable[[#This Row],[Is Short Put]])), CagrTable[[#This Row],[Basis]], 0)</f>
        <v>2535.98</v>
      </c>
      <c r="BG43" s="173">
        <f>IF(CagrTable[[#This Row],[Covered Short Share Equivalent]] &gt; 0,-1 * CagrTable[[#This Row],[Premium Input]] / CagrTable[[#This Row],[Covered Short Share Equivalent]], 0)</f>
        <v>-0.63336666666666663</v>
      </c>
      <c r="BH43" s="173">
        <f>IF(CagrTable[[#This Row],[Covered Short Share Equivalent]] &gt; 0, CagrTable[[#This Row],[Premium Offset Input]] / CagrTable[[#This Row],[Covered Short Share Equivalent]], 0)</f>
        <v>4.226633333333333</v>
      </c>
      <c r="BI43" s="173">
        <f>SUM(CagrTable[[#This Row],[Premium ACB]:[Premium Offset ACB]])</f>
        <v>3.5932666666666666</v>
      </c>
      <c r="BJ43" s="173">
        <f>IF(CagrTable[[#This Row],[Is Naked Short]],-1 * CagrTable[[#This Row],[Strike Price]] - (CagrTable[[#This Row],[Proceeds]] / CagrTable[[#This Row],[Naked Short Share Equivalent]]), 0)</f>
        <v>0</v>
      </c>
      <c r="BK43" s="173">
        <f>IF(CagrTable[[#This Row],[Is Short Put]], CagrTable[[#This Row],[Strike Price]] + CagrTable[[#This Row],[Net Short Premium ACB]], 0)</f>
        <v>0</v>
      </c>
      <c r="BL43" s="173">
        <f>IF(AND(CagrTable[[#This Row],[Is Long Call]], NOT(CagrTable[[#This Row],[Is PLUG]])), -1 * CagrTable[[#This Row],[P&amp;L]]/(CagrTable[[#This Row],[Qty]] * 100), 0)</f>
        <v>0</v>
      </c>
      <c r="BM43" s="173">
        <f>IF(AND(NOT(CagrTable[[#This Row],[Is Option]]), NOT(CagrTable[[#This Row],[Is PLUG]]), CagrTable[[#This Row],[Is Open]]), -CagrTable[[#This Row],[P&amp;L]]/CagrTable[[#This Row],[Qty]], 0)</f>
        <v>0</v>
      </c>
      <c r="BN43" s="173" t="b">
        <f>AND(_Total_ACB_Shares&lt;&gt;0, NOT(CagrTable[[#This Row],[Is PLUG]]))</f>
        <v>0</v>
      </c>
      <c r="BO43" s="173">
        <f>IF(OR(_Total_ACB_Shares=0, CagrTable[[#This Row],[Is PLUG]]), 0, (CagrTable[[#This Row],[ACB]] * CagrTable[[#This Row],[Qty]] * IF(CagrTable[[#This Row],[Is Option]], 100, 1))/ _Total_ACB_Shares)</f>
        <v>0</v>
      </c>
      <c r="BP43" s="184">
        <f t="shared" si="2"/>
        <v>1</v>
      </c>
      <c r="BQ43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3.5932666666666666</v>
      </c>
      <c r="BR43" s="174">
        <f>CagrTable[[#This Row],[Prelim Weighted ACB]] * CagrTable[[#This Row],[ACB Sign]]</f>
        <v>0</v>
      </c>
      <c r="BS43" s="62">
        <f>CagrTable[[#This Row],[Proceeds]] - CagrTable[[#This Row],[Basis]]</f>
        <v>-2155.96</v>
      </c>
      <c r="BT43" s="91" t="s">
        <v>70</v>
      </c>
      <c r="BU43" s="63" t="s">
        <v>62</v>
      </c>
      <c r="BV43" s="63" t="s">
        <v>71</v>
      </c>
      <c r="BW43" s="63" t="s">
        <v>87</v>
      </c>
      <c r="BX43" s="27"/>
      <c r="BY43" s="58">
        <v>63.6</v>
      </c>
      <c r="BZ43" s="58">
        <v>0.64</v>
      </c>
      <c r="CA43" s="100">
        <v>46237.605729166666</v>
      </c>
      <c r="CB43" s="58">
        <v>1.1000000000000001</v>
      </c>
      <c r="CC43" s="58">
        <v>0.48</v>
      </c>
      <c r="CD43" s="65">
        <v>25</v>
      </c>
      <c r="CE43" s="83"/>
      <c r="CF43" s="66" t="s">
        <v>64</v>
      </c>
      <c r="CG43" s="58">
        <v>0.64</v>
      </c>
      <c r="CH43" s="66" t="s">
        <v>438</v>
      </c>
      <c r="CI43" s="66"/>
      <c r="CJ43" s="66"/>
      <c r="CK43" s="58">
        <v>76.2</v>
      </c>
      <c r="CL43" s="58">
        <v>4.22</v>
      </c>
      <c r="CM43" s="64">
        <v>46255.405057870368</v>
      </c>
      <c r="CN43" s="58">
        <v>5.23</v>
      </c>
      <c r="CO43" s="58">
        <v>2.96</v>
      </c>
      <c r="CP43" s="67">
        <v>44</v>
      </c>
      <c r="CQ43" s="82"/>
      <c r="CR43" s="58" t="s">
        <v>64</v>
      </c>
      <c r="CS43" s="58">
        <v>0.75</v>
      </c>
      <c r="CT43" s="66" t="s">
        <v>458</v>
      </c>
      <c r="CU43" s="73" t="s">
        <v>88</v>
      </c>
      <c r="CV43" s="181" t="s">
        <v>439</v>
      </c>
      <c r="DC43" s="19"/>
      <c r="DL43" s="13"/>
    </row>
    <row r="44" spans="1:116" ht="12.75" hidden="1" customHeight="1">
      <c r="A44" s="69" t="s">
        <v>97</v>
      </c>
      <c r="B44" s="189" t="s">
        <v>67</v>
      </c>
      <c r="C44" s="88">
        <v>6</v>
      </c>
      <c r="D44" s="70">
        <v>20</v>
      </c>
      <c r="E44" s="1" t="str">
        <f>CONCATENATE(CagrTable[[#This Row],[Symbol]], CagrTable[[#This Row],[ID]])</f>
        <v>FCX20</v>
      </c>
      <c r="F44" s="55"/>
      <c r="G44" s="56">
        <v>46262.729166666664</v>
      </c>
      <c r="H44" s="58">
        <v>0</v>
      </c>
      <c r="I44" s="57">
        <f>IF(ISNUMBER(CagrTable[[#This Row],[Qty]]),CagrTable[[#This Row],[Basis]] /CagrTable[[#This Row],[Qty]], "")</f>
        <v>0</v>
      </c>
      <c r="J44" s="56">
        <v>46255.405069444445</v>
      </c>
      <c r="K44" s="58">
        <v>2977.95</v>
      </c>
      <c r="L44" s="78">
        <f>IF(ISNUMBER(CagrTable[[#This Row],[Qty]]),CagrTable[[#This Row],[Proceeds]] / CagrTable[[#This Row],[Qty]], "")</f>
        <v>496.32499999999999</v>
      </c>
      <c r="M44" s="77">
        <f>IF(CagrTable[[#This Row],[Is Open]], CagrTable[[#This Row],[Date Opened]], CagrTable[[#This Row],[Date Closed]])</f>
        <v>46255.405069444445</v>
      </c>
      <c r="N44" s="101"/>
      <c r="O44"/>
      <c r="P44" s="177"/>
      <c r="Q44" s="176"/>
      <c r="R44" s="71">
        <f>IF(CagrTable[[#This Row],[Sell Date]]=CagrTable[[#This Row],[Acquire Date]], 1, ABS(CagrTable[[#This Row],[Sell Date]] - CagrTable[[#This Row],[Acquire Date]]))</f>
        <v>7.3240972222192795</v>
      </c>
      <c r="S44" s="72">
        <f>CagrTable[[#This Row],[Days Held]] / 30</f>
        <v>0.24413657407397599</v>
      </c>
      <c r="T44" s="178">
        <v>4.05</v>
      </c>
      <c r="U44" s="179"/>
      <c r="V44" s="158">
        <v>46262.729166666664</v>
      </c>
      <c r="W44" s="60">
        <v>72</v>
      </c>
      <c r="X44" s="75" t="s">
        <v>68</v>
      </c>
      <c r="Y44" s="61" t="s">
        <v>459</v>
      </c>
      <c r="Z44" s="85" t="str">
        <f>IF(OR(CagrTable[[#This Row],[Is Closed]]="", CagrTable[[#This Row],[Is Closed]]="H"),"Y","")</f>
        <v>Y</v>
      </c>
      <c r="AA44" s="85" t="str">
        <f>IF(OR(CagrTable[[#This Row],[Position]]="LNG",CagrTable[[#This Row],[Position]]="SHRT"),"Equity","Option")</f>
        <v>Option</v>
      </c>
      <c r="AB44" s="84" t="str">
        <f>IF(CagrTable[[#This Row],[Pricing Update Included]]="Y",IF(CagrTable[[#This Row],[Pricing Update Asset]]="Equity",CagrTable[[#This Row],[Symbol]],CagrTable[[#This Row],[Option Symbol]]),"")</f>
        <v>FCX260828C00072000</v>
      </c>
      <c r="AC44" s="80">
        <f>SUBTOTAL(103,CagrTable[[#This Row],[Symbol]])</f>
        <v>0</v>
      </c>
      <c r="AD44" s="80" t="b">
        <f>LEFT(CagrTable[[#This Row],[Position]],1)="L"</f>
        <v>0</v>
      </c>
      <c r="AE44" s="80" t="b">
        <f>LEFT(CagrTable[[#This Row],[Position]],1)="S"</f>
        <v>1</v>
      </c>
      <c r="AF44" s="80" t="b">
        <f>(CagrTable[[#This Row],[Position]] = "DIV")</f>
        <v>0</v>
      </c>
      <c r="AG44" s="80" t="b">
        <f>CagrTable[[#This Row],[Position]] = "PLUG"</f>
        <v>0</v>
      </c>
      <c r="AH44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0</v>
      </c>
      <c r="AI44" s="80" t="b">
        <f>CagrTable[[#This Row],[Is Closed]] &lt;&gt; "Y"</f>
        <v>1</v>
      </c>
      <c r="AJ44" s="84" t="b">
        <f>OR(CagrTable[[#This Row],[Option Type]]&lt;&gt;"",
  CagrTable[[#This Row],[Position]]="LC", CagrTable[[#This Row],[Position]]="SC",
  CagrTable[[#This Row],[Position]]="LP",CagrTable[[#This Row],[Position]]="SP"
)</f>
        <v>1</v>
      </c>
      <c r="AK44" s="84" t="b">
        <f>AND(CagrTable[[#This Row],[Option Type]] = "C", CagrTable[[#This Row],[Is Short]])</f>
        <v>1</v>
      </c>
      <c r="AL44" s="84" t="b">
        <f>AND(CagrTable[[#This Row],[Is Short Call]],CagrTable[[#This Row],[Is Naked Call]] = TRUE)</f>
        <v>0</v>
      </c>
      <c r="AM44" s="84" t="b">
        <f>AND(CagrTable[[#This Row],[Option Type]] = "P", CagrTable[[#This Row],[Is Short]])</f>
        <v>0</v>
      </c>
      <c r="AN44" s="84" t="b">
        <f>CagrTable[[#This Row],[Position]]= "LC"</f>
        <v>0</v>
      </c>
      <c r="AO44" s="169">
        <f>IF(AND(CagrTable[[#This Row],[Is Long]], NOT(CagrTable[[#This Row],[Position]]="LP")), CagrTable[[#This Row],[Qty]] * IF(CagrTable[[#This Row],[Is Option]], 100, 1), 0)</f>
        <v>0</v>
      </c>
      <c r="AP44" s="169">
        <f>IF(CagrTable[[#This Row],[Is Naked Short]], CagrTable[[#This Row],[Qty]] * -100, 0)</f>
        <v>0</v>
      </c>
      <c r="AQ44" s="169">
        <f>IF(CagrTable[[#This Row],[Is ACB Put]], CagrTable[[#This Row],[Qty]] * -100, 0)</f>
        <v>0</v>
      </c>
      <c r="AR44" s="169">
        <f>IF(AND(CagrTable[[#This Row],[Is Short]], NOT(CagrTable[[#This Row],[Is Naked Short]])), CagrTable[[#This Row],[Qty]] * IF(CagrTable[[#This Row],[Is Option]], 100, 1), 0)</f>
        <v>600</v>
      </c>
      <c r="AS44" s="169">
        <f>SUM(CagrTable[[#This Row],[Long Share Equivalent]:[Covered Short Share Equivalent]])</f>
        <v>600</v>
      </c>
      <c r="AT44" s="169">
        <f>IF(CagrTable[[#This Row],[Is Open]], SUM(CagrTable[[#This Row],[Long Share Equivalent]:[ACB Put Share Equivalent]]), 0)</f>
        <v>0</v>
      </c>
      <c r="AU44" s="166">
        <f>IF(OR(CagrTable[[#This Row],[Is Long]], CagrTable[[#This Row],[Is DIV]]), CagrTable[[#This Row],[Acquire Date]], CagrTable[[#This Row],[Sell Date]])</f>
        <v>46255.405069444445</v>
      </c>
      <c r="AV44" s="166" t="str">
        <f>IF(NOT(CagrTable[[#This Row],[Is Option]]), IF(OR(CagrTable[[#This Row],[Is Long]], CagrTable[[#This Row],[Is DIV]]), CagrTable[[#This Row],[Sell Date]], CagrTable[[#This Row],[Acquire Date]]), "")</f>
        <v/>
      </c>
      <c r="AW44" s="166">
        <f ca="1">IF(AND(CagrTable[[#This Row],[Is Option]], CagrTable[[#This Row],[Is Open]]), IF(CagrTable[[#This Row],[Is Long Call]], CagrTable[[#This Row],[Exp Date]], MIN(MockToday, CagrTable[[#This Row],[Exp Date]])), "")</f>
        <v>46257</v>
      </c>
      <c r="AX44" s="166" t="str">
        <f>IF(AND(CagrTable[[#This Row],[Is Option]], NOT(CagrTable[[#This Row],[Is Open]])), IF(CagrTable[[#This Row],[Is Long]], CagrTable[[#This Row],[Sell Date]], CagrTable[[#This Row],[Acquire Date]]), "")</f>
        <v/>
      </c>
      <c r="AY44" s="166" cm="1">
        <f t="array" aca="1" ref="AY44" ca="1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46257</v>
      </c>
      <c r="AZ44" s="80" t="b">
        <f>IF(AND(CagrTable[[#This Row],[Visible]], CagrTable[[#This Row],[Is Open]]), OR(CagrTable[[#This Row],[Is Long]], AND(CagrTable[[#This Row],[Is Short]], CagrTable[[#This Row],[Is Naked Call]])), FALSE)</f>
        <v>0</v>
      </c>
      <c r="BA44" s="80" t="b">
        <f>AND(CagrTable[[#This Row],[Visible]], OR(NOT(CagrTable[[#This Row],[Is PLUG]]), CagrTable[[#This Row],[Plug Type]] = "MTM"))</f>
        <v>0</v>
      </c>
      <c r="BB44" s="80" t="b">
        <f>AND(CagrTable[[#This Row],[Visible]],NOT(CagrTable[[#This Row],[Is Open]]),NOT(CagrTable[[#This Row],[Plug Type]] = "MC"),CagrTable[[#This Row],[Position]]&lt;&gt;"DIV")</f>
        <v>0</v>
      </c>
      <c r="BC44" s="193">
        <f>IF(AND(CagrTable[[#This Row],[Visible]], CagrTable[[#This Row],[Plug Type]] = "MC"), CagrTable[[#This Row],[Basis]], 0)</f>
        <v>0</v>
      </c>
      <c r="BD44" s="182">
        <f>IF(CagrTable[[#This Row],[Is PLUG]], 0, CagrTable[[#This Row],[Proceeds]] - CagrTable[[#This Row],[Basis]])</f>
        <v>2977.95</v>
      </c>
      <c r="BE44" s="180">
        <f>IF(AND(OR(CagrTable[[#This Row],[Is Short Call]],CagrTable[[#This Row],[Is Short Put]])), CagrTable[[#This Row],[Proceeds]], 0)</f>
        <v>2977.95</v>
      </c>
      <c r="BF44" s="180">
        <f>IF(AND(OR(CagrTable[[#This Row],[Is Short Call]],CagrTable[[#This Row],[Is Short Put]])), CagrTable[[#This Row],[Basis]], 0)</f>
        <v>0</v>
      </c>
      <c r="BG44" s="173">
        <f>IF(CagrTable[[#This Row],[Covered Short Share Equivalent]] &gt; 0,-1 * CagrTable[[#This Row],[Premium Input]] / CagrTable[[#This Row],[Covered Short Share Equivalent]], 0)</f>
        <v>-4.9632499999999995</v>
      </c>
      <c r="BH44" s="173">
        <f>IF(CagrTable[[#This Row],[Covered Short Share Equivalent]] &gt; 0, CagrTable[[#This Row],[Premium Offset Input]] / CagrTable[[#This Row],[Covered Short Share Equivalent]], 0)</f>
        <v>0</v>
      </c>
      <c r="BI44" s="173">
        <f>SUM(CagrTable[[#This Row],[Premium ACB]:[Premium Offset ACB]])</f>
        <v>-4.9632499999999995</v>
      </c>
      <c r="BJ44" s="173">
        <f>IF(CagrTable[[#This Row],[Is Naked Short]],-1 * CagrTable[[#This Row],[Strike Price]] - (CagrTable[[#This Row],[Proceeds]] / CagrTable[[#This Row],[Naked Short Share Equivalent]]), 0)</f>
        <v>0</v>
      </c>
      <c r="BK44" s="173">
        <f>IF(CagrTable[[#This Row],[Is Short Put]], CagrTable[[#This Row],[Strike Price]] + CagrTable[[#This Row],[Net Short Premium ACB]], 0)</f>
        <v>0</v>
      </c>
      <c r="BL44" s="173">
        <f>IF(AND(CagrTable[[#This Row],[Is Long Call]], NOT(CagrTable[[#This Row],[Is PLUG]])), -1 * CagrTable[[#This Row],[P&amp;L]]/(CagrTable[[#This Row],[Qty]] * 100), 0)</f>
        <v>0</v>
      </c>
      <c r="BM44" s="173">
        <f>IF(AND(NOT(CagrTable[[#This Row],[Is Option]]), NOT(CagrTable[[#This Row],[Is PLUG]]), CagrTable[[#This Row],[Is Open]]), -CagrTable[[#This Row],[P&amp;L]]/CagrTable[[#This Row],[Qty]], 0)</f>
        <v>0</v>
      </c>
      <c r="BN44" s="173" t="b">
        <f>AND(_Total_ACB_Shares&lt;&gt;0, NOT(CagrTable[[#This Row],[Is PLUG]]))</f>
        <v>0</v>
      </c>
      <c r="BO44" s="173">
        <f>IF(OR(_Total_ACB_Shares=0, CagrTable[[#This Row],[Is PLUG]]), 0, (CagrTable[[#This Row],[ACB]] * CagrTable[[#This Row],[Qty]] * IF(CagrTable[[#This Row],[Is Option]], 100, 1))/ _Total_ACB_Shares)</f>
        <v>0</v>
      </c>
      <c r="BP44" s="184">
        <f t="shared" si="2"/>
        <v>1</v>
      </c>
      <c r="BQ44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-4.9632499999999995</v>
      </c>
      <c r="BR44" s="174">
        <f>CagrTable[[#This Row],[Prelim Weighted ACB]] * CagrTable[[#This Row],[ACB Sign]]</f>
        <v>0</v>
      </c>
      <c r="BS44" s="62">
        <f>CagrTable[[#This Row],[Proceeds]] - CagrTable[[#This Row],[Basis]]</f>
        <v>2977.95</v>
      </c>
      <c r="BT44" s="91" t="s">
        <v>70</v>
      </c>
      <c r="BU44" s="63" t="s">
        <v>62</v>
      </c>
      <c r="BV44" s="63" t="s">
        <v>71</v>
      </c>
      <c r="BW44" s="63" t="s">
        <v>87</v>
      </c>
      <c r="BX44" s="27"/>
      <c r="BY44" s="58">
        <v>76.2</v>
      </c>
      <c r="BZ44" s="58">
        <v>4.97</v>
      </c>
      <c r="CA44" s="100">
        <v>46255.405069444445</v>
      </c>
      <c r="CB44" s="58">
        <v>6</v>
      </c>
      <c r="CC44" s="58">
        <v>4.0999999999999996</v>
      </c>
      <c r="CD44" s="65">
        <v>45</v>
      </c>
      <c r="CE44" s="83"/>
      <c r="CF44" s="66" t="s">
        <v>64</v>
      </c>
      <c r="CG44" s="58">
        <v>0.75</v>
      </c>
      <c r="CH44" s="66" t="s">
        <v>460</v>
      </c>
      <c r="CI44" s="66"/>
      <c r="CJ44" s="66"/>
      <c r="CK44" s="58"/>
      <c r="CL44" s="58"/>
      <c r="CM44" s="64"/>
      <c r="CN44" s="58"/>
      <c r="CO44" s="58"/>
      <c r="CP44" s="67"/>
      <c r="CQ44" s="82"/>
      <c r="CR44" s="58"/>
      <c r="CS44" s="58"/>
      <c r="CT44" s="66"/>
      <c r="CU44" s="73"/>
      <c r="CV44" s="181" t="s">
        <v>461</v>
      </c>
      <c r="DC44" s="19"/>
      <c r="DL44" s="13"/>
    </row>
    <row r="45" spans="1:116" ht="12.75" hidden="1" customHeight="1">
      <c r="A45" s="69" t="s">
        <v>97</v>
      </c>
      <c r="B45" s="189" t="s">
        <v>100</v>
      </c>
      <c r="C45" s="88">
        <v>6</v>
      </c>
      <c r="D45" s="70">
        <v>20</v>
      </c>
      <c r="E45" s="1" t="str">
        <f>CONCATENATE(CagrTable[[#This Row],[Symbol]], CagrTable[[#This Row],[ID]])</f>
        <v>FCX20</v>
      </c>
      <c r="F45" s="55"/>
      <c r="G45" s="56">
        <v>46087</v>
      </c>
      <c r="H45" s="58">
        <v>0</v>
      </c>
      <c r="I45" s="57">
        <f>IF(ISNUMBER(CagrTable[[#This Row],[Qty]]),CagrTable[[#This Row],[Basis]] /CagrTable[[#This Row],[Qty]], "")</f>
        <v>0</v>
      </c>
      <c r="J45" s="56">
        <v>46257</v>
      </c>
      <c r="K45" s="58">
        <v>15330</v>
      </c>
      <c r="L45" s="78">
        <f>IF(ISNUMBER(CagrTable[[#This Row],[Qty]]),CagrTable[[#This Row],[Proceeds]] / CagrTable[[#This Row],[Qty]], "")</f>
        <v>2555</v>
      </c>
      <c r="M45" s="77">
        <f>IF(CagrTable[[#This Row],[Is Open]], CagrTable[[#This Row],[Date Opened]], CagrTable[[#This Row],[Date Closed]])</f>
        <v>46257</v>
      </c>
      <c r="N45" s="101" t="s">
        <v>230</v>
      </c>
      <c r="O45"/>
      <c r="P45" s="177"/>
      <c r="Q45" s="176"/>
      <c r="R45" s="71">
        <f>IF(CagrTable[[#This Row],[Sell Date]]=CagrTable[[#This Row],[Acquire Date]], 1, ABS(CagrTable[[#This Row],[Sell Date]] - CagrTable[[#This Row],[Acquire Date]]))</f>
        <v>170</v>
      </c>
      <c r="S45" s="72">
        <f>CagrTable[[#This Row],[Days Held]] / 30</f>
        <v>5.666666666666667</v>
      </c>
      <c r="T45" s="178"/>
      <c r="U45" s="179"/>
      <c r="V45" s="158"/>
      <c r="W45" s="60"/>
      <c r="X45" s="75"/>
      <c r="Y45" s="61"/>
      <c r="Z45" s="85" t="str">
        <f>IF(OR(CagrTable[[#This Row],[Is Closed]]="", CagrTable[[#This Row],[Is Closed]]="H"),"Y","")</f>
        <v>Y</v>
      </c>
      <c r="AA45" s="85" t="str">
        <f>IF(OR(CagrTable[[#This Row],[Position]]="LNG",CagrTable[[#This Row],[Position]]="SHRT"),"Equity","Option")</f>
        <v>Option</v>
      </c>
      <c r="AB45" s="84">
        <f>IF(CagrTable[[#This Row],[Pricing Update Included]]="Y",IF(CagrTable[[#This Row],[Pricing Update Asset]]="Equity",CagrTable[[#This Row],[Symbol]],CagrTable[[#This Row],[Option Symbol]]),"")</f>
        <v>0</v>
      </c>
      <c r="AC45" s="80">
        <f>SUBTOTAL(103,CagrTable[[#This Row],[Symbol]])</f>
        <v>0</v>
      </c>
      <c r="AD45" s="80" t="b">
        <f>LEFT(CagrTable[[#This Row],[Position]],1)="L"</f>
        <v>0</v>
      </c>
      <c r="AE45" s="80" t="b">
        <f>LEFT(CagrTable[[#This Row],[Position]],1)="S"</f>
        <v>0</v>
      </c>
      <c r="AF45" s="80" t="b">
        <f>(CagrTable[[#This Row],[Position]] = "DIV")</f>
        <v>0</v>
      </c>
      <c r="AG45" s="80" t="b">
        <f>CagrTable[[#This Row],[Position]] = "PLUG"</f>
        <v>1</v>
      </c>
      <c r="AH45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1</v>
      </c>
      <c r="AI45" s="80" t="b">
        <f>CagrTable[[#This Row],[Is Closed]] &lt;&gt; "Y"</f>
        <v>1</v>
      </c>
      <c r="AJ45" s="84" t="b">
        <f>OR(CagrTable[[#This Row],[Option Type]]&lt;&gt;"",
  CagrTable[[#This Row],[Position]]="LC", CagrTable[[#This Row],[Position]]="SC",
  CagrTable[[#This Row],[Position]]="LP",CagrTable[[#This Row],[Position]]="SP"
)</f>
        <v>0</v>
      </c>
      <c r="AK45" s="84" t="b">
        <f>AND(CagrTable[[#This Row],[Option Type]] = "C", CagrTable[[#This Row],[Is Short]])</f>
        <v>0</v>
      </c>
      <c r="AL45" s="84" t="b">
        <f>AND(CagrTable[[#This Row],[Is Short Call]],CagrTable[[#This Row],[Is Naked Call]] = TRUE)</f>
        <v>0</v>
      </c>
      <c r="AM45" s="84" t="b">
        <f>AND(CagrTable[[#This Row],[Option Type]] = "P", CagrTable[[#This Row],[Is Short]])</f>
        <v>0</v>
      </c>
      <c r="AN45" s="84" t="b">
        <f>CagrTable[[#This Row],[Position]]= "LC"</f>
        <v>0</v>
      </c>
      <c r="AO45" s="169">
        <f>IF(AND(CagrTable[[#This Row],[Is Long]], NOT(CagrTable[[#This Row],[Position]]="LP")), CagrTable[[#This Row],[Qty]] * IF(CagrTable[[#This Row],[Is Option]], 100, 1), 0)</f>
        <v>0</v>
      </c>
      <c r="AP45" s="169">
        <f>IF(CagrTable[[#This Row],[Is Naked Short]], CagrTable[[#This Row],[Qty]] * -100, 0)</f>
        <v>0</v>
      </c>
      <c r="AQ45" s="169">
        <f>IF(CagrTable[[#This Row],[Is ACB Put]], CagrTable[[#This Row],[Qty]] * -100, 0)</f>
        <v>0</v>
      </c>
      <c r="AR45" s="169">
        <f>IF(AND(CagrTable[[#This Row],[Is Short]], NOT(CagrTable[[#This Row],[Is Naked Short]])), CagrTable[[#This Row],[Qty]] * IF(CagrTable[[#This Row],[Is Option]], 100, 1), 0)</f>
        <v>0</v>
      </c>
      <c r="AS45" s="169">
        <f>SUM(CagrTable[[#This Row],[Long Share Equivalent]:[Covered Short Share Equivalent]])</f>
        <v>0</v>
      </c>
      <c r="AT45" s="169">
        <f>IF(CagrTable[[#This Row],[Is Open]], SUM(CagrTable[[#This Row],[Long Share Equivalent]:[ACB Put Share Equivalent]]), 0)</f>
        <v>0</v>
      </c>
      <c r="AU45" s="166">
        <f>IF(OR(CagrTable[[#This Row],[Is Long]], CagrTable[[#This Row],[Is DIV]]), CagrTable[[#This Row],[Acquire Date]], CagrTable[[#This Row],[Sell Date]])</f>
        <v>46257</v>
      </c>
      <c r="AV45" s="166">
        <f>IF(NOT(CagrTable[[#This Row],[Is Option]]), IF(OR(CagrTable[[#This Row],[Is Long]], CagrTable[[#This Row],[Is DIV]]), CagrTable[[#This Row],[Sell Date]], CagrTable[[#This Row],[Acquire Date]]), "")</f>
        <v>46087</v>
      </c>
      <c r="AW45" s="166" t="str">
        <f>IF(AND(CagrTable[[#This Row],[Is Option]], CagrTable[[#This Row],[Is Open]]), IF(CagrTable[[#This Row],[Is Long Call]], CagrTable[[#This Row],[Exp Date]], MIN(MockToday, CagrTable[[#This Row],[Exp Date]])), "")</f>
        <v/>
      </c>
      <c r="AX45" s="166" t="str">
        <f>IF(AND(CagrTable[[#This Row],[Is Option]], NOT(CagrTable[[#This Row],[Is Open]])), IF(CagrTable[[#This Row],[Is Long]], CagrTable[[#This Row],[Sell Date]], CagrTable[[#This Row],[Acquire Date]]), "")</f>
        <v/>
      </c>
      <c r="AY45" s="166" cm="1">
        <f t="array" ref="AY45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46087</v>
      </c>
      <c r="AZ45" s="80" t="b">
        <f>IF(AND(CagrTable[[#This Row],[Visible]], CagrTable[[#This Row],[Is Open]]), OR(CagrTable[[#This Row],[Is Long]], AND(CagrTable[[#This Row],[Is Short]], CagrTable[[#This Row],[Is Naked Call]])), FALSE)</f>
        <v>0</v>
      </c>
      <c r="BA45" s="80" t="b">
        <f>AND(CagrTable[[#This Row],[Visible]], OR(NOT(CagrTable[[#This Row],[Is PLUG]]), CagrTable[[#This Row],[Plug Type]] = "MTM"))</f>
        <v>0</v>
      </c>
      <c r="BB45" s="80" t="b">
        <f>AND(CagrTable[[#This Row],[Visible]],NOT(CagrTable[[#This Row],[Is Open]]),NOT(CagrTable[[#This Row],[Plug Type]] = "MC"),CagrTable[[#This Row],[Position]]&lt;&gt;"DIV")</f>
        <v>0</v>
      </c>
      <c r="BC45" s="193">
        <f>IF(AND(CagrTable[[#This Row],[Visible]], CagrTable[[#This Row],[Plug Type]] = "MC"), CagrTable[[#This Row],[Basis]], 0)</f>
        <v>0</v>
      </c>
      <c r="BD45" s="182">
        <f>IF(CagrTable[[#This Row],[Is PLUG]], 0, CagrTable[[#This Row],[Proceeds]] - CagrTable[[#This Row],[Basis]])</f>
        <v>0</v>
      </c>
      <c r="BE45" s="180">
        <f>IF(AND(OR(CagrTable[[#This Row],[Is Short Call]],CagrTable[[#This Row],[Is Short Put]])), CagrTable[[#This Row],[Proceeds]], 0)</f>
        <v>0</v>
      </c>
      <c r="BF45" s="180">
        <f>IF(AND(OR(CagrTable[[#This Row],[Is Short Call]],CagrTable[[#This Row],[Is Short Put]])), CagrTable[[#This Row],[Basis]], 0)</f>
        <v>0</v>
      </c>
      <c r="BG45" s="173">
        <f>IF(CagrTable[[#This Row],[Covered Short Share Equivalent]] &gt; 0,-1 * CagrTable[[#This Row],[Premium Input]] / CagrTable[[#This Row],[Covered Short Share Equivalent]], 0)</f>
        <v>0</v>
      </c>
      <c r="BH45" s="173">
        <f>IF(CagrTable[[#This Row],[Covered Short Share Equivalent]] &gt; 0, CagrTable[[#This Row],[Premium Offset Input]] / CagrTable[[#This Row],[Covered Short Share Equivalent]], 0)</f>
        <v>0</v>
      </c>
      <c r="BI45" s="173">
        <f>SUM(CagrTable[[#This Row],[Premium ACB]:[Premium Offset ACB]])</f>
        <v>0</v>
      </c>
      <c r="BJ45" s="173">
        <f>IF(CagrTable[[#This Row],[Is Naked Short]],-1 * CagrTable[[#This Row],[Strike Price]] - (CagrTable[[#This Row],[Proceeds]] / CagrTable[[#This Row],[Naked Short Share Equivalent]]), 0)</f>
        <v>0</v>
      </c>
      <c r="BK45" s="173">
        <f>IF(CagrTable[[#This Row],[Is Short Put]], CagrTable[[#This Row],[Strike Price]] + CagrTable[[#This Row],[Net Short Premium ACB]], 0)</f>
        <v>0</v>
      </c>
      <c r="BL45" s="173">
        <f>IF(AND(CagrTable[[#This Row],[Is Long Call]], NOT(CagrTable[[#This Row],[Is PLUG]])), -1 * CagrTable[[#This Row],[P&amp;L]]/(CagrTable[[#This Row],[Qty]] * 100), 0)</f>
        <v>0</v>
      </c>
      <c r="BM45" s="173">
        <f>IF(AND(NOT(CagrTable[[#This Row],[Is Option]]), NOT(CagrTable[[#This Row],[Is PLUG]]), OR(CagrTable[[#This Row],[Is Open]], CagrTable[[#This Row],[Is DIV]]), N(CagrTable[[#This Row],[Qty]])&lt;&gt;0), -CagrTable[[#This Row],[P&amp;L]]/CagrTable[[#This Row],[Qty]], 0)</f>
        <v>0</v>
      </c>
      <c r="BN45" s="173" t="b">
        <f>AND(_Total_ACB_Shares&lt;&gt;0, NOT(CagrTable[[#This Row],[Is PLUG]]))</f>
        <v>0</v>
      </c>
      <c r="BO45" s="173">
        <f>IF(OR(_Total_ACB_Shares=0, CagrTable[[#This Row],[Is PLUG]]), 0, (CagrTable[[#This Row],[ACB]] * CagrTable[[#This Row],[Qty]] * IF(CagrTable[[#This Row],[Is Option]], 100, 1))/ _Total_ACB_Shares)</f>
        <v>0</v>
      </c>
      <c r="BP45" s="184">
        <f t="shared" si="2"/>
        <v>1</v>
      </c>
      <c r="BQ45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0</v>
      </c>
      <c r="BR45" s="174">
        <f>CagrTable[[#This Row],[Prelim Weighted ACB]] * CagrTable[[#This Row],[ACB Sign]]</f>
        <v>0</v>
      </c>
      <c r="BS45" s="62">
        <f>CagrTable[[#This Row],[Proceeds]] - CagrTable[[#This Row],[Basis]]</f>
        <v>15330</v>
      </c>
      <c r="BT45" s="91" t="s">
        <v>100</v>
      </c>
      <c r="BU45" s="63"/>
      <c r="BV45" s="63"/>
      <c r="BW45" s="63"/>
      <c r="BX45" s="27"/>
      <c r="BY45" s="58"/>
      <c r="BZ45" s="58"/>
      <c r="CA45" s="100"/>
      <c r="CB45" s="58"/>
      <c r="CC45" s="58"/>
      <c r="CD45" s="65"/>
      <c r="CE45" s="83"/>
      <c r="CF45" s="66"/>
      <c r="CG45" s="58"/>
      <c r="CH45" s="66"/>
      <c r="CI45" s="66"/>
      <c r="CJ45" s="66"/>
      <c r="CK45" s="58"/>
      <c r="CL45" s="58"/>
      <c r="CM45" s="64"/>
      <c r="CN45" s="58"/>
      <c r="CO45" s="58"/>
      <c r="CP45" s="67"/>
      <c r="CQ45" s="82"/>
      <c r="CR45" s="58"/>
      <c r="CS45" s="58"/>
      <c r="CT45" s="66"/>
      <c r="CU45" s="73"/>
      <c r="CV45" s="181" t="s">
        <v>305</v>
      </c>
      <c r="DC45" s="19"/>
      <c r="DL45" s="13"/>
    </row>
    <row r="46" spans="1:116" ht="12.75" hidden="1" customHeight="1">
      <c r="A46" s="69" t="s">
        <v>97</v>
      </c>
      <c r="B46" s="189" t="s">
        <v>100</v>
      </c>
      <c r="C46" s="88">
        <v>6</v>
      </c>
      <c r="D46" s="70">
        <v>20</v>
      </c>
      <c r="E46" s="1" t="str">
        <f>CONCATENATE(CagrTable[[#This Row],[Symbol]], CagrTable[[#This Row],[ID]])</f>
        <v>FCX20</v>
      </c>
      <c r="F46" s="55"/>
      <c r="G46" s="56">
        <v>46199</v>
      </c>
      <c r="H46" s="58"/>
      <c r="I46" s="57">
        <f>IF(ISNUMBER(CagrTable[[#This Row],[Qty]]),CagrTable[[#This Row],[Basis]] /CagrTable[[#This Row],[Qty]], "")</f>
        <v>0</v>
      </c>
      <c r="J46" s="56">
        <v>46262</v>
      </c>
      <c r="K46" s="58">
        <f>600 * 72</f>
        <v>43200</v>
      </c>
      <c r="L46" s="78">
        <f>IF(ISNUMBER(CagrTable[[#This Row],[Qty]]),CagrTable[[#This Row],[Proceeds]] / CagrTable[[#This Row],[Qty]], "")</f>
        <v>7200</v>
      </c>
      <c r="M46" s="77">
        <f>IF(CagrTable[[#This Row],[Is Open]], CagrTable[[#This Row],[Date Opened]], CagrTable[[#This Row],[Date Closed]])</f>
        <v>46262</v>
      </c>
      <c r="N46" s="101" t="s">
        <v>247</v>
      </c>
      <c r="O46"/>
      <c r="P46" s="177"/>
      <c r="Q46" s="176"/>
      <c r="R46" s="71">
        <f>IF(CagrTable[[#This Row],[Sell Date]]=CagrTable[[#This Row],[Acquire Date]], 1, ABS(CagrTable[[#This Row],[Sell Date]] - CagrTable[[#This Row],[Acquire Date]]))</f>
        <v>63</v>
      </c>
      <c r="S46" s="59">
        <f>CagrTable[[#This Row],[Days Held]] / 30</f>
        <v>2.1</v>
      </c>
      <c r="T46" s="178"/>
      <c r="U46" s="179"/>
      <c r="V46" s="158">
        <v>46191.729166666664</v>
      </c>
      <c r="W46" s="60">
        <v>65</v>
      </c>
      <c r="X46" s="75"/>
      <c r="Y46" s="61" t="s">
        <v>317</v>
      </c>
      <c r="Z46" s="85" t="str">
        <f>IF(OR(CagrTable[[#This Row],[Is Closed]]="", CagrTable[[#This Row],[Is Closed]]="H"),"Y","")</f>
        <v>Y</v>
      </c>
      <c r="AA46" s="85" t="str">
        <f>IF(OR(CagrTable[[#This Row],[Position]]="LNG",CagrTable[[#This Row],[Position]]="SHRT"),"Equity","Option")</f>
        <v>Option</v>
      </c>
      <c r="AB46" s="84" t="str">
        <f>IF(CagrTable[[#This Row],[Pricing Update Included]]="Y",IF(CagrTable[[#This Row],[Pricing Update Asset]]="Equity",CagrTable[[#This Row],[Symbol]],CagrTable[[#This Row],[Option Symbol]]),"")</f>
        <v>FCX260618P00065000</v>
      </c>
      <c r="AC46" s="80">
        <f>SUBTOTAL(103,CagrTable[[#This Row],[Symbol]])</f>
        <v>0</v>
      </c>
      <c r="AD46" s="80" t="b">
        <f>LEFT(CagrTable[[#This Row],[Position]],1)="L"</f>
        <v>0</v>
      </c>
      <c r="AE46" s="80" t="b">
        <f>LEFT(CagrTable[[#This Row],[Position]],1)="S"</f>
        <v>0</v>
      </c>
      <c r="AF46" s="80" t="b">
        <f>(CagrTable[[#This Row],[Position]] = "DIV")</f>
        <v>0</v>
      </c>
      <c r="AG46" s="80" t="b">
        <f>CagrTable[[#This Row],[Position]] = "PLUG"</f>
        <v>1</v>
      </c>
      <c r="AH46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1</v>
      </c>
      <c r="AI46" s="80" t="b">
        <f>CagrTable[[#This Row],[Is Closed]] &lt;&gt; "Y"</f>
        <v>1</v>
      </c>
      <c r="AJ46" s="84" t="b">
        <f>OR(CagrTable[[#This Row],[Option Type]]&lt;&gt;"",
  CagrTable[[#This Row],[Position]]="LC", CagrTable[[#This Row],[Position]]="SC",
  CagrTable[[#This Row],[Position]]="LP",CagrTable[[#This Row],[Position]]="SP"
)</f>
        <v>0</v>
      </c>
      <c r="AK46" s="84" t="b">
        <f>AND(CagrTable[[#This Row],[Option Type]] = "C", CagrTable[[#This Row],[Is Short]])</f>
        <v>0</v>
      </c>
      <c r="AL46" s="84" t="b">
        <f>AND(CagrTable[[#This Row],[Is Short Call]],CagrTable[[#This Row],[Is Naked Call]] = TRUE)</f>
        <v>0</v>
      </c>
      <c r="AM46" s="84" t="b">
        <f>AND(CagrTable[[#This Row],[Option Type]] = "P", CagrTable[[#This Row],[Is Short]])</f>
        <v>0</v>
      </c>
      <c r="AN46" s="84" t="b">
        <f>CagrTable[[#This Row],[Position]]= "LC"</f>
        <v>0</v>
      </c>
      <c r="AO46" s="169">
        <f>IF(AND(CagrTable[[#This Row],[Is Long]], NOT(CagrTable[[#This Row],[Position]]="LP")), CagrTable[[#This Row],[Qty]] * IF(CagrTable[[#This Row],[Is Option]], 100, 1), 0)</f>
        <v>0</v>
      </c>
      <c r="AP46" s="169">
        <f>IF(CagrTable[[#This Row],[Is Naked Short]], CagrTable[[#This Row],[Qty]] * -100, 0)</f>
        <v>0</v>
      </c>
      <c r="AQ46" s="169">
        <f>IF(CagrTable[[#This Row],[Is ACB Put]], CagrTable[[#This Row],[Qty]] * -100, 0)</f>
        <v>0</v>
      </c>
      <c r="AR46" s="169">
        <f>IF(AND(CagrTable[[#This Row],[Is Short]], NOT(CagrTable[[#This Row],[Is Naked Short]])), CagrTable[[#This Row],[Qty]] * IF(CagrTable[[#This Row],[Is Option]], 100, 1), 0)</f>
        <v>0</v>
      </c>
      <c r="AS46" s="169">
        <f>SUM(CagrTable[[#This Row],[Long Share Equivalent]:[Covered Short Share Equivalent]])</f>
        <v>0</v>
      </c>
      <c r="AT46" s="169">
        <f>IF(CagrTable[[#This Row],[Is Open]], SUM(CagrTable[[#This Row],[Long Share Equivalent]:[ACB Put Share Equivalent]]), 0)</f>
        <v>0</v>
      </c>
      <c r="AU46" s="166">
        <f>IF(OR(CagrTable[[#This Row],[Is Long]], CagrTable[[#This Row],[Is DIV]]), CagrTable[[#This Row],[Acquire Date]], CagrTable[[#This Row],[Sell Date]])</f>
        <v>46262</v>
      </c>
      <c r="AV46" s="166">
        <f>IF(NOT(CagrTable[[#This Row],[Is Option]]), IF(OR(CagrTable[[#This Row],[Is Long]], CagrTable[[#This Row],[Is DIV]]), CagrTable[[#This Row],[Sell Date]], CagrTable[[#This Row],[Acquire Date]]), "")</f>
        <v>46199</v>
      </c>
      <c r="AW46" s="166" t="str">
        <f>IF(AND(CagrTable[[#This Row],[Is Option]], CagrTable[[#This Row],[Is Open]]), IF(CagrTable[[#This Row],[Is Long Call]], CagrTable[[#This Row],[Exp Date]], MIN(MockToday, CagrTable[[#This Row],[Exp Date]])), "")</f>
        <v/>
      </c>
      <c r="AX46" s="166" t="str">
        <f>IF(AND(CagrTable[[#This Row],[Is Option]], NOT(CagrTable[[#This Row],[Is Open]])), IF(CagrTable[[#This Row],[Is Long]], CagrTable[[#This Row],[Sell Date]], CagrTable[[#This Row],[Acquire Date]]), "")</f>
        <v/>
      </c>
      <c r="AY46" s="166" cm="1">
        <f t="array" ref="AY46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46199</v>
      </c>
      <c r="AZ46" s="80" t="b">
        <f>IF(AND(CagrTable[[#This Row],[Visible]], CagrTable[[#This Row],[Is Open]]), OR(CagrTable[[#This Row],[Is Long]], AND(CagrTable[[#This Row],[Is Short]], CagrTable[[#This Row],[Is Naked Call]])), FALSE)</f>
        <v>0</v>
      </c>
      <c r="BA46" s="80" t="b">
        <f>AND(CagrTable[[#This Row],[Visible]], OR(NOT(CagrTable[[#This Row],[Is PLUG]]), CagrTable[[#This Row],[Plug Type]] = "MTM"))</f>
        <v>0</v>
      </c>
      <c r="BB46" s="80" t="b">
        <f>AND(CagrTable[[#This Row],[Visible]],NOT(CagrTable[[#This Row],[Is Open]]),NOT(CagrTable[[#This Row],[Plug Type]] = "MC"),CagrTable[[#This Row],[Position]]&lt;&gt;"DIV")</f>
        <v>0</v>
      </c>
      <c r="BC46" s="193">
        <f>IF(AND(CagrTable[[#This Row],[Visible]], CagrTable[[#This Row],[Plug Type]] = "MC"), CagrTable[[#This Row],[Basis]], 0)</f>
        <v>0</v>
      </c>
      <c r="BD46" s="182">
        <f>IF(CagrTable[[#This Row],[Is PLUG]], 0, CagrTable[[#This Row],[Proceeds]] - CagrTable[[#This Row],[Basis]])</f>
        <v>0</v>
      </c>
      <c r="BE46" s="180">
        <f>IF(AND(OR(CagrTable[[#This Row],[Is Short Call]],CagrTable[[#This Row],[Is Short Put]])), CagrTable[[#This Row],[Proceeds]], 0)</f>
        <v>0</v>
      </c>
      <c r="BF46" s="180">
        <f>IF(AND(OR(CagrTable[[#This Row],[Is Short Call]],CagrTable[[#This Row],[Is Short Put]])), CagrTable[[#This Row],[Basis]], 0)</f>
        <v>0</v>
      </c>
      <c r="BG46" s="173">
        <f>IF(CagrTable[[#This Row],[Covered Short Share Equivalent]] &gt; 0,-1 * CagrTable[[#This Row],[Premium Input]] / CagrTable[[#This Row],[Covered Short Share Equivalent]], 0)</f>
        <v>0</v>
      </c>
      <c r="BH46" s="173">
        <f>IF(CagrTable[[#This Row],[Covered Short Share Equivalent]] &gt; 0, CagrTable[[#This Row],[Premium Offset Input]] / CagrTable[[#This Row],[Covered Short Share Equivalent]], 0)</f>
        <v>0</v>
      </c>
      <c r="BI46" s="173">
        <f>SUM(CagrTable[[#This Row],[Premium ACB]:[Premium Offset ACB]])</f>
        <v>0</v>
      </c>
      <c r="BJ46" s="173">
        <f>IF(CagrTable[[#This Row],[Is Naked Short]],-1 * CagrTable[[#This Row],[Strike Price]] - (CagrTable[[#This Row],[Proceeds]] / CagrTable[[#This Row],[Naked Short Share Equivalent]]), 0)</f>
        <v>0</v>
      </c>
      <c r="BK46" s="173">
        <f>IF(CagrTable[[#This Row],[Is Short Put]], CagrTable[[#This Row],[Strike Price]] + CagrTable[[#This Row],[Net Short Premium ACB]], 0)</f>
        <v>0</v>
      </c>
      <c r="BL46" s="173">
        <f>IF(AND(CagrTable[[#This Row],[Is Long Call]], NOT(CagrTable[[#This Row],[Is PLUG]])), -1 * CagrTable[[#This Row],[P&amp;L]]/(CagrTable[[#This Row],[Qty]] * 100), 0)</f>
        <v>0</v>
      </c>
      <c r="BM46" s="173">
        <f>IF(AND(NOT(CagrTable[[#This Row],[Is Option]]), NOT(CagrTable[[#This Row],[Is PLUG]]), OR(CagrTable[[#This Row],[Is Open]], CagrTable[[#This Row],[Is DIV]]), N(CagrTable[[#This Row],[Qty]])&lt;&gt;0), -CagrTable[[#This Row],[P&amp;L]]/CagrTable[[#This Row],[Qty]], 0)</f>
        <v>0</v>
      </c>
      <c r="BN46" s="173" t="b">
        <f>AND(_Total_ACB_Shares&lt;&gt;0, NOT(CagrTable[[#This Row],[Is PLUG]]))</f>
        <v>0</v>
      </c>
      <c r="BO46" s="173">
        <f>IF(OR(_Total_ACB_Shares=0, CagrTable[[#This Row],[Is PLUG]]), 0, (CagrTable[[#This Row],[ACB]] * CagrTable[[#This Row],[Qty]] * IF(CagrTable[[#This Row],[Is Option]], 100, 1))/ _Total_ACB_Shares)</f>
        <v>0</v>
      </c>
      <c r="BP46" s="184">
        <f t="shared" si="2"/>
        <v>1</v>
      </c>
      <c r="BQ46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0</v>
      </c>
      <c r="BR46" s="174">
        <f>CagrTable[[#This Row],[Prelim Weighted ACB]] * CagrTable[[#This Row],[ACB Sign]]</f>
        <v>0</v>
      </c>
      <c r="BS46" s="62">
        <f>CagrTable[[#This Row],[Proceeds]] - CagrTable[[#This Row],[Basis]]</f>
        <v>43200</v>
      </c>
      <c r="BT46" s="91" t="s">
        <v>100</v>
      </c>
      <c r="BU46" s="63"/>
      <c r="BV46" s="63"/>
      <c r="BW46" s="63"/>
      <c r="BX46" s="27"/>
      <c r="BY46" s="58"/>
      <c r="BZ46" s="58"/>
      <c r="CA46" s="100"/>
      <c r="CB46" s="58"/>
      <c r="CC46" s="58"/>
      <c r="CD46" s="65"/>
      <c r="CE46" s="82"/>
      <c r="CF46" s="66"/>
      <c r="CG46" s="58"/>
      <c r="CH46" s="66"/>
      <c r="CI46" s="66"/>
      <c r="CJ46" s="66"/>
      <c r="CK46" s="58"/>
      <c r="CL46" s="58"/>
      <c r="CM46" s="64"/>
      <c r="CN46" s="58"/>
      <c r="CO46" s="58"/>
      <c r="CP46" s="67"/>
      <c r="CQ46" s="82"/>
      <c r="CR46" s="58"/>
      <c r="CS46" s="58"/>
      <c r="CT46" s="66"/>
      <c r="CU46" s="68"/>
      <c r="CV46" s="181" t="s">
        <v>367</v>
      </c>
      <c r="DC46" s="19"/>
      <c r="DL46" s="13"/>
    </row>
    <row r="47" spans="1:116" ht="12.75" hidden="1" customHeight="1">
      <c r="A47" s="69" t="s">
        <v>97</v>
      </c>
      <c r="B47" s="189" t="s">
        <v>100</v>
      </c>
      <c r="C47" s="88">
        <v>6</v>
      </c>
      <c r="D47" s="70">
        <v>20</v>
      </c>
      <c r="E47" s="1" t="str">
        <f>CONCATENATE(CagrTable[[#This Row],[Symbol]], CagrTable[[#This Row],[ID]])</f>
        <v>FCX20</v>
      </c>
      <c r="F47" s="55" t="s">
        <v>61</v>
      </c>
      <c r="G47" s="56">
        <v>46262.729166666664</v>
      </c>
      <c r="H47" s="58">
        <v>37800</v>
      </c>
      <c r="I47" s="57">
        <f>IF(ISNUMBER(CagrTable[[#This Row],[Qty]]),CagrTable[[#This Row],[Basis]] /CagrTable[[#This Row],[Qty]], "")</f>
        <v>6300</v>
      </c>
      <c r="J47" s="56">
        <v>46262.729166666664</v>
      </c>
      <c r="K47" s="58">
        <v>0</v>
      </c>
      <c r="L47" s="78">
        <f>IF(ISNUMBER(CagrTable[[#This Row],[Qty]]),CagrTable[[#This Row],[Proceeds]] / CagrTable[[#This Row],[Qty]], "")</f>
        <v>0</v>
      </c>
      <c r="M47" s="77">
        <f>IF(CagrTable[[#This Row],[Is Open]], CagrTable[[#This Row],[Date Opened]], CagrTable[[#This Row],[Date Closed]])</f>
        <v>46262.729166666664</v>
      </c>
      <c r="N47" s="101" t="s">
        <v>248</v>
      </c>
      <c r="O47"/>
      <c r="P47" s="177"/>
      <c r="Q47" s="176"/>
      <c r="R47" s="71">
        <f>IF(CagrTable[[#This Row],[Sell Date]]=CagrTable[[#This Row],[Acquire Date]], 1, ABS(CagrTable[[#This Row],[Sell Date]] - CagrTable[[#This Row],[Acquire Date]]))</f>
        <v>1</v>
      </c>
      <c r="S47" s="72">
        <f>CagrTable[[#This Row],[Days Held]] / 30</f>
        <v>3.3333333333333333E-2</v>
      </c>
      <c r="T47" s="178"/>
      <c r="U47" s="179"/>
      <c r="V47" s="158">
        <v>46262.729166666664</v>
      </c>
      <c r="W47" s="60">
        <v>63</v>
      </c>
      <c r="X47" s="75"/>
      <c r="Y47" s="61" t="s">
        <v>449</v>
      </c>
      <c r="Z47" s="85" t="str">
        <f>IF(OR(CagrTable[[#This Row],[Is Closed]]="", CagrTable[[#This Row],[Is Closed]]="H"),"Y","")</f>
        <v/>
      </c>
      <c r="AA47" s="85" t="str">
        <f>IF(OR(CagrTable[[#This Row],[Position]]="LNG",CagrTable[[#This Row],[Position]]="SHRT"),"Equity","Option")</f>
        <v>Option</v>
      </c>
      <c r="AB47" s="84" t="str">
        <f>IF(CagrTable[[#This Row],[Pricing Update Included]]="Y",IF(CagrTable[[#This Row],[Pricing Update Asset]]="Equity",CagrTable[[#This Row],[Symbol]],CagrTable[[#This Row],[Option Symbol]]),"")</f>
        <v/>
      </c>
      <c r="AC47" s="80">
        <f>SUBTOTAL(103,CagrTable[[#This Row],[Symbol]])</f>
        <v>0</v>
      </c>
      <c r="AD47" s="80" t="b">
        <f>LEFT(CagrTable[[#This Row],[Position]],1)="L"</f>
        <v>0</v>
      </c>
      <c r="AE47" s="80" t="b">
        <f>LEFT(CagrTable[[#This Row],[Position]],1)="S"</f>
        <v>0</v>
      </c>
      <c r="AF47" s="80" t="b">
        <f>(CagrTable[[#This Row],[Position]] = "DIV")</f>
        <v>0</v>
      </c>
      <c r="AG47" s="80" t="b">
        <f>CagrTable[[#This Row],[Position]] = "PLUG"</f>
        <v>1</v>
      </c>
      <c r="AH47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1</v>
      </c>
      <c r="AI47" s="80" t="b">
        <f>CagrTable[[#This Row],[Is Closed]] &lt;&gt; "Y"</f>
        <v>0</v>
      </c>
      <c r="AJ47" s="84" t="b">
        <f>OR(CagrTable[[#This Row],[Option Type]]&lt;&gt;"",
  CagrTable[[#This Row],[Position]]="LC", CagrTable[[#This Row],[Position]]="SC",
  CagrTable[[#This Row],[Position]]="LP",CagrTable[[#This Row],[Position]]="SP"
)</f>
        <v>0</v>
      </c>
      <c r="AK47" s="84" t="b">
        <f>AND(CagrTable[[#This Row],[Option Type]] = "C", CagrTable[[#This Row],[Is Short]])</f>
        <v>0</v>
      </c>
      <c r="AL47" s="84" t="b">
        <f>AND(CagrTable[[#This Row],[Is Short Call]],CagrTable[[#This Row],[Is Naked Call]] = TRUE)</f>
        <v>0</v>
      </c>
      <c r="AM47" s="84" t="b">
        <f>AND(CagrTable[[#This Row],[Option Type]] = "P", CagrTable[[#This Row],[Is Short]])</f>
        <v>0</v>
      </c>
      <c r="AN47" s="84" t="b">
        <f>CagrTable[[#This Row],[Position]]= "LC"</f>
        <v>0</v>
      </c>
      <c r="AO47" s="169">
        <f>IF(AND(CagrTable[[#This Row],[Is Long]], NOT(CagrTable[[#This Row],[Position]]="LP")), CagrTable[[#This Row],[Qty]] * IF(CagrTable[[#This Row],[Is Option]], 100, 1), 0)</f>
        <v>0</v>
      </c>
      <c r="AP47" s="169">
        <f>IF(CagrTable[[#This Row],[Is Naked Short]], CagrTable[[#This Row],[Qty]] * -100, 0)</f>
        <v>0</v>
      </c>
      <c r="AQ47" s="169">
        <f>IF(CagrTable[[#This Row],[Is ACB Put]], CagrTable[[#This Row],[Qty]] * -100, 0)</f>
        <v>0</v>
      </c>
      <c r="AR47" s="169">
        <f>IF(AND(CagrTable[[#This Row],[Is Short]], NOT(CagrTable[[#This Row],[Is Naked Short]])), CagrTable[[#This Row],[Qty]] * IF(CagrTable[[#This Row],[Is Option]], 100, 1), 0)</f>
        <v>0</v>
      </c>
      <c r="AS47" s="169">
        <f>SUM(CagrTable[[#This Row],[Long Share Equivalent]:[Covered Short Share Equivalent]])</f>
        <v>0</v>
      </c>
      <c r="AT47" s="169">
        <f>IF(CagrTable[[#This Row],[Is Open]], SUM(CagrTable[[#This Row],[Long Share Equivalent]:[ACB Put Share Equivalent]]), 0)</f>
        <v>0</v>
      </c>
      <c r="AU47" s="166">
        <f>IF(OR(CagrTable[[#This Row],[Is Long]], CagrTable[[#This Row],[Is DIV]]), CagrTable[[#This Row],[Acquire Date]], CagrTable[[#This Row],[Sell Date]])</f>
        <v>46262.729166666664</v>
      </c>
      <c r="AV47" s="166">
        <f>IF(NOT(CagrTable[[#This Row],[Is Option]]), IF(OR(CagrTable[[#This Row],[Is Long]], CagrTable[[#This Row],[Is DIV]]), CagrTable[[#This Row],[Sell Date]], CagrTable[[#This Row],[Acquire Date]]), "")</f>
        <v>46262.729166666664</v>
      </c>
      <c r="AW47" s="166" t="str">
        <f>IF(AND(CagrTable[[#This Row],[Is Option]], CagrTable[[#This Row],[Is Open]]), IF(CagrTable[[#This Row],[Is Long Call]], CagrTable[[#This Row],[Exp Date]], MIN(MockToday, CagrTable[[#This Row],[Exp Date]])), "")</f>
        <v/>
      </c>
      <c r="AX47" s="166" t="str">
        <f>IF(AND(CagrTable[[#This Row],[Is Option]], NOT(CagrTable[[#This Row],[Is Open]])), IF(CagrTable[[#This Row],[Is Long]], CagrTable[[#This Row],[Sell Date]], CagrTable[[#This Row],[Acquire Date]]), "")</f>
        <v/>
      </c>
      <c r="AY47" s="166" cm="1">
        <f t="array" ref="AY47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46262.729166666664</v>
      </c>
      <c r="AZ47" s="80" t="b">
        <f>IF(AND(CagrTable[[#This Row],[Visible]], CagrTable[[#This Row],[Is Open]]), OR(CagrTable[[#This Row],[Is Long]], AND(CagrTable[[#This Row],[Is Short]], CagrTable[[#This Row],[Is Naked Call]])), FALSE)</f>
        <v>0</v>
      </c>
      <c r="BA47" s="80" t="b">
        <f>AND(CagrTable[[#This Row],[Visible]], OR(NOT(CagrTable[[#This Row],[Is PLUG]]), CagrTable[[#This Row],[Plug Type]] = "MTM"))</f>
        <v>0</v>
      </c>
      <c r="BB47" s="80" t="b">
        <f>AND(CagrTable[[#This Row],[Visible]],NOT(CagrTable[[#This Row],[Is Open]]),NOT(CagrTable[[#This Row],[Plug Type]] = "MC"),CagrTable[[#This Row],[Position]]&lt;&gt;"DIV")</f>
        <v>0</v>
      </c>
      <c r="BC47" s="193">
        <f>IF(AND(CagrTable[[#This Row],[Visible]], CagrTable[[#This Row],[Plug Type]] = "MC"), CagrTable[[#This Row],[Basis]], 0)</f>
        <v>0</v>
      </c>
      <c r="BD47" s="182">
        <f>IF(CagrTable[[#This Row],[Is PLUG]], 0, CagrTable[[#This Row],[Proceeds]] - CagrTable[[#This Row],[Basis]])</f>
        <v>0</v>
      </c>
      <c r="BE47" s="180">
        <f>IF(AND(OR(CagrTable[[#This Row],[Is Short Call]],CagrTable[[#This Row],[Is Short Put]])), CagrTable[[#This Row],[Proceeds]], 0)</f>
        <v>0</v>
      </c>
      <c r="BF47" s="180">
        <f>IF(AND(OR(CagrTable[[#This Row],[Is Short Call]],CagrTable[[#This Row],[Is Short Put]])), CagrTable[[#This Row],[Basis]], 0)</f>
        <v>0</v>
      </c>
      <c r="BG47" s="173">
        <f>IF(CagrTable[[#This Row],[Covered Short Share Equivalent]] &gt; 0,-1 * CagrTable[[#This Row],[Premium Input]] / CagrTable[[#This Row],[Covered Short Share Equivalent]], 0)</f>
        <v>0</v>
      </c>
      <c r="BH47" s="173">
        <f>IF(CagrTable[[#This Row],[Covered Short Share Equivalent]] &gt; 0, CagrTable[[#This Row],[Premium Offset Input]] / CagrTable[[#This Row],[Covered Short Share Equivalent]], 0)</f>
        <v>0</v>
      </c>
      <c r="BI47" s="173">
        <f>SUM(CagrTable[[#This Row],[Premium ACB]:[Premium Offset ACB]])</f>
        <v>0</v>
      </c>
      <c r="BJ47" s="173">
        <f>IF(CagrTable[[#This Row],[Is Naked Short]],-1 * CagrTable[[#This Row],[Strike Price]] - (CagrTable[[#This Row],[Proceeds]] / CagrTable[[#This Row],[Naked Short Share Equivalent]]), 0)</f>
        <v>0</v>
      </c>
      <c r="BK47" s="173">
        <f>IF(CagrTable[[#This Row],[Is Short Put]], CagrTable[[#This Row],[Strike Price]] + CagrTable[[#This Row],[Net Short Premium ACB]], 0)</f>
        <v>0</v>
      </c>
      <c r="BL47" s="173">
        <f>IF(AND(CagrTable[[#This Row],[Is Long Call]], NOT(CagrTable[[#This Row],[Is PLUG]])), -1 * CagrTable[[#This Row],[P&amp;L]]/(CagrTable[[#This Row],[Qty]] * 100), 0)</f>
        <v>0</v>
      </c>
      <c r="BM47" s="173">
        <f>IF(AND(NOT(CagrTable[[#This Row],[Is Option]]), NOT(CagrTable[[#This Row],[Is PLUG]]), CagrTable[[#This Row],[Is Open]]), -CagrTable[[#This Row],[P&amp;L]]/CagrTable[[#This Row],[Qty]], 0)</f>
        <v>0</v>
      </c>
      <c r="BN47" s="173" t="b">
        <f>AND(_Total_ACB_Shares&lt;&gt;0, NOT(CagrTable[[#This Row],[Is PLUG]]))</f>
        <v>0</v>
      </c>
      <c r="BO47" s="173">
        <f>IF(OR(_Total_ACB_Shares=0, CagrTable[[#This Row],[Is PLUG]]), 0, (CagrTable[[#This Row],[ACB]] * CagrTable[[#This Row],[Qty]] * IF(CagrTable[[#This Row],[Is Option]], 100, 1))/ _Total_ACB_Shares)</f>
        <v>0</v>
      </c>
      <c r="BP47" s="184">
        <f t="shared" si="2"/>
        <v>1</v>
      </c>
      <c r="BQ47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0</v>
      </c>
      <c r="BR47" s="174">
        <f>CagrTable[[#This Row],[Prelim Weighted ACB]] * CagrTable[[#This Row],[ACB Sign]]</f>
        <v>0</v>
      </c>
      <c r="BS47" s="62">
        <f>CagrTable[[#This Row],[Proceeds]] - CagrTable[[#This Row],[Basis]]</f>
        <v>-37800</v>
      </c>
      <c r="BT47" s="91" t="s">
        <v>100</v>
      </c>
      <c r="BU47" s="63"/>
      <c r="BV47" s="63"/>
      <c r="BW47" s="63"/>
      <c r="BX47" s="27"/>
      <c r="BY47" s="58"/>
      <c r="BZ47" s="58"/>
      <c r="CA47" s="100"/>
      <c r="CB47" s="58"/>
      <c r="CC47" s="58"/>
      <c r="CD47" s="65"/>
      <c r="CE47" s="83"/>
      <c r="CF47" s="66"/>
      <c r="CG47" s="58"/>
      <c r="CH47" s="66"/>
      <c r="CI47" s="66"/>
      <c r="CJ47" s="66"/>
      <c r="CK47" s="58"/>
      <c r="CL47" s="58"/>
      <c r="CM47" s="64"/>
      <c r="CN47" s="58"/>
      <c r="CO47" s="58"/>
      <c r="CP47" s="67"/>
      <c r="CQ47" s="82"/>
      <c r="CR47" s="58"/>
      <c r="CS47" s="58"/>
      <c r="CT47" s="66"/>
      <c r="CU47" s="73"/>
      <c r="CV47" s="181"/>
      <c r="DC47" s="19"/>
      <c r="DL47" s="13"/>
    </row>
    <row r="48" spans="1:116" ht="12.75" hidden="1" customHeight="1">
      <c r="A48" s="69" t="s">
        <v>173</v>
      </c>
      <c r="B48" s="189" t="s">
        <v>60</v>
      </c>
      <c r="C48" s="88">
        <v>800</v>
      </c>
      <c r="D48" s="70">
        <v>2</v>
      </c>
      <c r="E48" s="1" t="str">
        <f>CONCATENATE(CagrTable[[#This Row],[Symbol]], CagrTable[[#This Row],[ID]])</f>
        <v>SMR2</v>
      </c>
      <c r="F48" s="55" t="s">
        <v>61</v>
      </c>
      <c r="G48" s="56">
        <v>46049.54519675926</v>
      </c>
      <c r="H48" s="58">
        <v>15199.92</v>
      </c>
      <c r="I48" s="57">
        <f>IF(ISNUMBER(CagrTable[[#This Row],[Qty]]),CagrTable[[#This Row],[Basis]] /CagrTable[[#This Row],[Qty]], "")</f>
        <v>18.9999</v>
      </c>
      <c r="J48" s="56">
        <v>46052.541689814818</v>
      </c>
      <c r="K48" s="58">
        <v>14128</v>
      </c>
      <c r="L48" s="78">
        <f>IF(ISNUMBER(CagrTable[[#This Row],[Qty]]),CagrTable[[#This Row],[Proceeds]] / CagrTable[[#This Row],[Qty]], "")</f>
        <v>17.66</v>
      </c>
      <c r="M48" s="77">
        <f>IF(CagrTable[[#This Row],[Is Open]], CagrTable[[#This Row],[Date Opened]], CagrTable[[#This Row],[Date Closed]])</f>
        <v>46052.541689814818</v>
      </c>
      <c r="N48" s="101"/>
      <c r="O48"/>
      <c r="P48" s="177"/>
      <c r="Q48" s="176"/>
      <c r="R48" s="71">
        <f>IF(CagrTable[[#This Row],[Sell Date]]=CagrTable[[#This Row],[Acquire Date]], 1, ABS(CagrTable[[#This Row],[Sell Date]] - CagrTable[[#This Row],[Acquire Date]]))</f>
        <v>2.9964930555579485</v>
      </c>
      <c r="S48" s="59">
        <f>CagrTable[[#This Row],[Days Held]] / 30</f>
        <v>9.9883101851931624E-2</v>
      </c>
      <c r="T48" s="178">
        <v>0</v>
      </c>
      <c r="U48" s="179">
        <v>0</v>
      </c>
      <c r="V48" s="158"/>
      <c r="W48" s="60"/>
      <c r="X48" s="75"/>
      <c r="Y48" s="61"/>
      <c r="Z48" s="85" t="str">
        <f>IF(OR(CagrTable[[#This Row],[Is Closed]]="", CagrTable[[#This Row],[Is Closed]]="H"),"Y","")</f>
        <v/>
      </c>
      <c r="AA48" s="85" t="str">
        <f>IF(OR(CagrTable[[#This Row],[Position]]="LNG",CagrTable[[#This Row],[Position]]="SHRT"),"Equity","Option")</f>
        <v>Equity</v>
      </c>
      <c r="AB48" s="84" t="str">
        <f>IF(CagrTable[[#This Row],[Pricing Update Included]]="Y",IF(CagrTable[[#This Row],[Pricing Update Asset]]="Equity",CagrTable[[#This Row],[Symbol]],CagrTable[[#This Row],[Option Symbol]]),"")</f>
        <v/>
      </c>
      <c r="AC48" s="80">
        <f>SUBTOTAL(103,CagrTable[[#This Row],[Symbol]])</f>
        <v>0</v>
      </c>
      <c r="AD48" s="80" t="b">
        <f>LEFT(CagrTable[[#This Row],[Position]],1)="L"</f>
        <v>1</v>
      </c>
      <c r="AE48" s="80" t="b">
        <f>LEFT(CagrTable[[#This Row],[Position]],1)="S"</f>
        <v>0</v>
      </c>
      <c r="AF48" s="80" t="b">
        <f>(CagrTable[[#This Row],[Position]] = "DIV")</f>
        <v>0</v>
      </c>
      <c r="AG48" s="80" t="b">
        <f>CagrTable[[#This Row],[Position]] = "PLUG"</f>
        <v>0</v>
      </c>
      <c r="AH48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0</v>
      </c>
      <c r="AI48" s="80" t="b">
        <f>CagrTable[[#This Row],[Is Closed]] &lt;&gt; "Y"</f>
        <v>0</v>
      </c>
      <c r="AJ48" s="84" t="b">
        <f>OR(CagrTable[[#This Row],[Option Type]]&lt;&gt;"",
  CagrTable[[#This Row],[Position]]="LC", CagrTable[[#This Row],[Position]]="SC",
  CagrTable[[#This Row],[Position]]="LP",CagrTable[[#This Row],[Position]]="SP"
)</f>
        <v>0</v>
      </c>
      <c r="AK48" s="84" t="b">
        <f>AND(CagrTable[[#This Row],[Option Type]] = "C", CagrTable[[#This Row],[Is Short]])</f>
        <v>0</v>
      </c>
      <c r="AL48" s="84" t="b">
        <f>AND(CagrTable[[#This Row],[Is Short Call]],CagrTable[[#This Row],[Is Naked Call]] = TRUE)</f>
        <v>0</v>
      </c>
      <c r="AM48" s="84" t="b">
        <f>AND(CagrTable[[#This Row],[Option Type]] = "P", CagrTable[[#This Row],[Is Short]])</f>
        <v>0</v>
      </c>
      <c r="AN48" s="84" t="b">
        <f>CagrTable[[#This Row],[Position]]= "LC"</f>
        <v>0</v>
      </c>
      <c r="AO48" s="169">
        <f>IF(AND(CagrTable[[#This Row],[Is Long]], NOT(CagrTable[[#This Row],[Position]]="LP")), CagrTable[[#This Row],[Qty]] * IF(CagrTable[[#This Row],[Is Option]], 100, 1), 0)</f>
        <v>800</v>
      </c>
      <c r="AP48" s="169">
        <f>IF(CagrTable[[#This Row],[Is Naked Short]], CagrTable[[#This Row],[Qty]] * -100, 0)</f>
        <v>0</v>
      </c>
      <c r="AQ48" s="169">
        <f>IF(CagrTable[[#This Row],[Is ACB Put]], CagrTable[[#This Row],[Qty]] * -100, 0)</f>
        <v>0</v>
      </c>
      <c r="AR48" s="169">
        <f>IF(AND(CagrTable[[#This Row],[Is Short]], NOT(CagrTable[[#This Row],[Is Naked Short]])), CagrTable[[#This Row],[Qty]] * IF(CagrTable[[#This Row],[Is Option]], 100, 1), 0)</f>
        <v>0</v>
      </c>
      <c r="AS48" s="169">
        <f>SUM(CagrTable[[#This Row],[Long Share Equivalent]:[Covered Short Share Equivalent]])</f>
        <v>800</v>
      </c>
      <c r="AT48" s="169">
        <f>IF(CagrTable[[#This Row],[Is Open]], SUM(CagrTable[[#This Row],[Long Share Equivalent]:[ACB Put Share Equivalent]]), 0)</f>
        <v>0</v>
      </c>
      <c r="AU48" s="166">
        <f>IF(OR(CagrTable[[#This Row],[Is Long]], CagrTable[[#This Row],[Is DIV]]), CagrTable[[#This Row],[Acquire Date]], CagrTable[[#This Row],[Sell Date]])</f>
        <v>46049.54519675926</v>
      </c>
      <c r="AV48" s="166">
        <f>IF(NOT(CagrTable[[#This Row],[Is Option]]), IF(OR(CagrTable[[#This Row],[Is Long]], CagrTable[[#This Row],[Is DIV]]), CagrTable[[#This Row],[Sell Date]], CagrTable[[#This Row],[Acquire Date]]), "")</f>
        <v>46052.541689814818</v>
      </c>
      <c r="AW48" s="166" t="str">
        <f>IF(AND(CagrTable[[#This Row],[Is Option]], CagrTable[[#This Row],[Is Open]]), IF(CagrTable[[#This Row],[Is Long Call]], CagrTable[[#This Row],[Exp Date]], MIN(MockToday, CagrTable[[#This Row],[Exp Date]])), "")</f>
        <v/>
      </c>
      <c r="AX48" s="166" t="str">
        <f>IF(AND(CagrTable[[#This Row],[Is Option]], NOT(CagrTable[[#This Row],[Is Open]])), IF(CagrTable[[#This Row],[Is Long]], CagrTable[[#This Row],[Sell Date]], CagrTable[[#This Row],[Acquire Date]]), "")</f>
        <v/>
      </c>
      <c r="AY48" s="166" cm="1">
        <f t="array" ref="AY48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46052.541689814818</v>
      </c>
      <c r="AZ48" s="80" t="b">
        <f>IF(AND(CagrTable[[#This Row],[Visible]], CagrTable[[#This Row],[Is Open]]), OR(CagrTable[[#This Row],[Is Long]], AND(CagrTable[[#This Row],[Is Short]], CagrTable[[#This Row],[Is Naked Call]])), FALSE)</f>
        <v>0</v>
      </c>
      <c r="BA48" s="80" t="b">
        <f>AND(CagrTable[[#This Row],[Visible]], OR(NOT(CagrTable[[#This Row],[Is PLUG]]), CagrTable[[#This Row],[Plug Type]] = "MTM"))</f>
        <v>0</v>
      </c>
      <c r="BB48" s="80" t="b">
        <f>AND(CagrTable[[#This Row],[Visible]],NOT(CagrTable[[#This Row],[Is Open]]),NOT(CagrTable[[#This Row],[Plug Type]] = "MC"),CagrTable[[#This Row],[Position]]&lt;&gt;"DIV")</f>
        <v>0</v>
      </c>
      <c r="BC48" s="193">
        <f>IF(AND(CagrTable[[#This Row],[Visible]], CagrTable[[#This Row],[Plug Type]] = "MC"), CagrTable[[#This Row],[Basis]], 0)</f>
        <v>0</v>
      </c>
      <c r="BD48" s="182">
        <f>IF(CagrTable[[#This Row],[Is PLUG]], 0, CagrTable[[#This Row],[Proceeds]] - CagrTable[[#This Row],[Basis]])</f>
        <v>-1071.92</v>
      </c>
      <c r="BE48" s="180">
        <f>IF(AND(OR(CagrTable[[#This Row],[Is Short Call]],CagrTable[[#This Row],[Is Short Put]])), CagrTable[[#This Row],[Proceeds]], 0)</f>
        <v>0</v>
      </c>
      <c r="BF48" s="180">
        <f>IF(AND(OR(CagrTable[[#This Row],[Is Short Call]],CagrTable[[#This Row],[Is Short Put]])), CagrTable[[#This Row],[Basis]], 0)</f>
        <v>0</v>
      </c>
      <c r="BG48" s="173">
        <f>IF(CagrTable[[#This Row],[Covered Short Share Equivalent]] &gt; 0,-1 * CagrTable[[#This Row],[Premium Input]] / CagrTable[[#This Row],[Covered Short Share Equivalent]], 0)</f>
        <v>0</v>
      </c>
      <c r="BH48" s="173">
        <f>IF(CagrTable[[#This Row],[Covered Short Share Equivalent]] &gt; 0, CagrTable[[#This Row],[Premium Offset Input]] / CagrTable[[#This Row],[Covered Short Share Equivalent]], 0)</f>
        <v>0</v>
      </c>
      <c r="BI48" s="173">
        <f>SUM(CagrTable[[#This Row],[Premium ACB]:[Premium Offset ACB]])</f>
        <v>0</v>
      </c>
      <c r="BJ48" s="173">
        <f>IF(CagrTable[[#This Row],[Is Naked Short]],-1 * CagrTable[[#This Row],[Strike Price]] - (CagrTable[[#This Row],[Proceeds]] / CagrTable[[#This Row],[Naked Short Share Equivalent]]), 0)</f>
        <v>0</v>
      </c>
      <c r="BK48" s="173">
        <f>IF(CagrTable[[#This Row],[Is Short Put]], CagrTable[[#This Row],[Strike Price]] + CagrTable[[#This Row],[Net Short Premium ACB]], 0)</f>
        <v>0</v>
      </c>
      <c r="BL48" s="173">
        <f>IF(AND(CagrTable[[#This Row],[Is Long Call]], NOT(CagrTable[[#This Row],[Is PLUG]])), -1 * CagrTable[[#This Row],[P&amp;L]]/(CagrTable[[#This Row],[Qty]] * 100), 0)</f>
        <v>0</v>
      </c>
      <c r="BM48" s="173">
        <f>IF(AND(NOT(CagrTable[[#This Row],[Is Option]]), NOT(CagrTable[[#This Row],[Is PLUG]]), OR(CagrTable[[#This Row],[Is Open]], CagrTable[[#This Row],[Is DIV]]), N(CagrTable[[#This Row],[Qty]])&lt;&gt;0), -CagrTable[[#This Row],[P&amp;L]]/CagrTable[[#This Row],[Qty]], 0)</f>
        <v>0</v>
      </c>
      <c r="BN48" s="173" t="b">
        <f>AND(_Total_ACB_Shares&lt;&gt;0, NOT(CagrTable[[#This Row],[Is PLUG]]))</f>
        <v>0</v>
      </c>
      <c r="BO48" s="173">
        <f>IF(OR(_Total_ACB_Shares=0, CagrTable[[#This Row],[Is PLUG]]), 0, (CagrTable[[#This Row],[ACB]] * CagrTable[[#This Row],[Qty]] * IF(CagrTable[[#This Row],[Is Option]], 100, 1))/ _Total_ACB_Shares)</f>
        <v>0</v>
      </c>
      <c r="BP48" s="184">
        <f t="shared" ref="BP48:BP58" si="3">IF(_Total_ACB_Shares &lt; 0, -1, 1)</f>
        <v>1</v>
      </c>
      <c r="BQ48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0</v>
      </c>
      <c r="BR48" s="174">
        <f>CagrTable[[#This Row],[Prelim Weighted ACB]] * CagrTable[[#This Row],[ACB Sign]]</f>
        <v>0</v>
      </c>
      <c r="BS48" s="62">
        <f>CagrTable[[#This Row],[Proceeds]] - CagrTable[[#This Row],[Basis]]</f>
        <v>-1071.92</v>
      </c>
      <c r="BT48" s="91" t="s">
        <v>80</v>
      </c>
      <c r="BU48" s="63" t="s">
        <v>62</v>
      </c>
      <c r="BV48" s="63" t="s">
        <v>92</v>
      </c>
      <c r="BW48" s="63" t="s">
        <v>101</v>
      </c>
      <c r="BX48" s="27"/>
      <c r="BY48" s="58">
        <v>0</v>
      </c>
      <c r="BZ48" s="58">
        <v>18.9999</v>
      </c>
      <c r="CA48" s="100">
        <v>46049.54519675926</v>
      </c>
      <c r="CB48" s="58">
        <v>0</v>
      </c>
      <c r="CC48" s="58">
        <v>0</v>
      </c>
      <c r="CD48" s="65">
        <v>-1</v>
      </c>
      <c r="CE48" s="82"/>
      <c r="CF48" s="66" t="s">
        <v>73</v>
      </c>
      <c r="CG48" s="58"/>
      <c r="CH48" s="66" t="s">
        <v>99</v>
      </c>
      <c r="CI48" s="66"/>
      <c r="CJ48" s="66"/>
      <c r="CK48" s="58">
        <v>0</v>
      </c>
      <c r="CL48" s="58">
        <v>17.66</v>
      </c>
      <c r="CM48" s="64">
        <v>46052.541689814818</v>
      </c>
      <c r="CN48" s="58">
        <v>0</v>
      </c>
      <c r="CO48" s="58">
        <v>0</v>
      </c>
      <c r="CP48" s="67">
        <v>-1</v>
      </c>
      <c r="CQ48" s="82"/>
      <c r="CR48" s="58" t="s">
        <v>64</v>
      </c>
      <c r="CS48" s="58">
        <v>17.66</v>
      </c>
      <c r="CT48" s="66" t="s">
        <v>284</v>
      </c>
      <c r="CU48" s="68"/>
      <c r="CV48" s="181" t="s">
        <v>276</v>
      </c>
      <c r="DC48" s="19"/>
      <c r="DL48" s="13"/>
    </row>
    <row r="49" spans="1:116" ht="12.75" hidden="1" customHeight="1">
      <c r="A49" s="69" t="s">
        <v>173</v>
      </c>
      <c r="B49" s="189" t="s">
        <v>67</v>
      </c>
      <c r="C49" s="88">
        <v>8</v>
      </c>
      <c r="D49" s="70">
        <v>2</v>
      </c>
      <c r="E49" s="1" t="str">
        <f>CONCATENATE(CagrTable[[#This Row],[Symbol]], CagrTable[[#This Row],[ID]])</f>
        <v>SMR2</v>
      </c>
      <c r="F49" s="55" t="s">
        <v>61</v>
      </c>
      <c r="G49" s="56">
        <v>46052.579641203702</v>
      </c>
      <c r="H49" s="58">
        <v>184.2</v>
      </c>
      <c r="I49" s="57">
        <f>IF(ISNUMBER(CagrTable[[#This Row],[Qty]]),CagrTable[[#This Row],[Basis]] /CagrTable[[#This Row],[Qty]], "")</f>
        <v>23.024999999999999</v>
      </c>
      <c r="J49" s="56">
        <v>46050.576145833336</v>
      </c>
      <c r="K49" s="58">
        <v>513.26</v>
      </c>
      <c r="L49" s="78">
        <f>IF(ISNUMBER(CagrTable[[#This Row],[Qty]]),CagrTable[[#This Row],[Proceeds]] / CagrTable[[#This Row],[Qty]], "")</f>
        <v>64.157499999999999</v>
      </c>
      <c r="M49" s="77">
        <f>IF(CagrTable[[#This Row],[Is Open]], CagrTable[[#This Row],[Date Opened]], CagrTable[[#This Row],[Date Closed]])</f>
        <v>46052.579641203702</v>
      </c>
      <c r="N49" s="101"/>
      <c r="O49"/>
      <c r="P49" s="177"/>
      <c r="Q49" s="176"/>
      <c r="R49" s="71">
        <f>IF(CagrTable[[#This Row],[Sell Date]]=CagrTable[[#This Row],[Acquire Date]], 1, ABS(CagrTable[[#This Row],[Sell Date]] - CagrTable[[#This Row],[Acquire Date]]))</f>
        <v>2.0034953703652718</v>
      </c>
      <c r="S49" s="59">
        <f>CagrTable[[#This Row],[Days Held]] / 30</f>
        <v>6.6783179012175731E-2</v>
      </c>
      <c r="T49" s="178">
        <v>6.74</v>
      </c>
      <c r="U49" s="179">
        <v>0.2</v>
      </c>
      <c r="V49" s="158">
        <v>46073.729166666664</v>
      </c>
      <c r="W49" s="60">
        <v>25</v>
      </c>
      <c r="X49" s="75" t="s">
        <v>68</v>
      </c>
      <c r="Y49" s="61" t="s">
        <v>278</v>
      </c>
      <c r="Z49" s="85" t="str">
        <f>IF(OR(CagrTable[[#This Row],[Is Closed]]="", CagrTable[[#This Row],[Is Closed]]="H"),"Y","")</f>
        <v/>
      </c>
      <c r="AA49" s="85" t="str">
        <f>IF(OR(CagrTable[[#This Row],[Position]]="LNG",CagrTable[[#This Row],[Position]]="SHRT"),"Equity","Option")</f>
        <v>Option</v>
      </c>
      <c r="AB49" s="84" t="str">
        <f>IF(CagrTable[[#This Row],[Pricing Update Included]]="Y",IF(CagrTable[[#This Row],[Pricing Update Asset]]="Equity",CagrTable[[#This Row],[Symbol]],CagrTable[[#This Row],[Option Symbol]]),"")</f>
        <v/>
      </c>
      <c r="AC49" s="80">
        <f>SUBTOTAL(103,CagrTable[[#This Row],[Symbol]])</f>
        <v>0</v>
      </c>
      <c r="AD49" s="80" t="b">
        <f>LEFT(CagrTable[[#This Row],[Position]],1)="L"</f>
        <v>0</v>
      </c>
      <c r="AE49" s="80" t="b">
        <f>LEFT(CagrTable[[#This Row],[Position]],1)="S"</f>
        <v>1</v>
      </c>
      <c r="AF49" s="80" t="b">
        <f>(CagrTable[[#This Row],[Position]] = "DIV")</f>
        <v>0</v>
      </c>
      <c r="AG49" s="80" t="b">
        <f>CagrTable[[#This Row],[Position]] = "PLUG"</f>
        <v>0</v>
      </c>
      <c r="AH49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0</v>
      </c>
      <c r="AI49" s="80" t="b">
        <f>CagrTable[[#This Row],[Is Closed]] &lt;&gt; "Y"</f>
        <v>0</v>
      </c>
      <c r="AJ49" s="84" t="b">
        <f>OR(CagrTable[[#This Row],[Option Type]]&lt;&gt;"",
  CagrTable[[#This Row],[Position]]="LC", CagrTable[[#This Row],[Position]]="SC",
  CagrTable[[#This Row],[Position]]="LP",CagrTable[[#This Row],[Position]]="SP"
)</f>
        <v>1</v>
      </c>
      <c r="AK49" s="84" t="b">
        <f>AND(CagrTable[[#This Row],[Option Type]] = "C", CagrTable[[#This Row],[Is Short]])</f>
        <v>1</v>
      </c>
      <c r="AL49" s="84" t="b">
        <f>AND(CagrTable[[#This Row],[Is Short Call]],CagrTable[[#This Row],[Is Naked Call]] = TRUE)</f>
        <v>0</v>
      </c>
      <c r="AM49" s="84" t="b">
        <f>AND(CagrTable[[#This Row],[Option Type]] = "P", CagrTable[[#This Row],[Is Short]])</f>
        <v>0</v>
      </c>
      <c r="AN49" s="84" t="b">
        <f>CagrTable[[#This Row],[Position]]= "LC"</f>
        <v>0</v>
      </c>
      <c r="AO49" s="169">
        <f>IF(AND(CagrTable[[#This Row],[Is Long]], NOT(CagrTable[[#This Row],[Position]]="LP")), CagrTable[[#This Row],[Qty]] * IF(CagrTable[[#This Row],[Is Option]], 100, 1), 0)</f>
        <v>0</v>
      </c>
      <c r="AP49" s="169">
        <f>IF(CagrTable[[#This Row],[Is Naked Short]], CagrTable[[#This Row],[Qty]] * -100, 0)</f>
        <v>0</v>
      </c>
      <c r="AQ49" s="169">
        <f>IF(CagrTable[[#This Row],[Is ACB Put]], CagrTable[[#This Row],[Qty]] * -100, 0)</f>
        <v>0</v>
      </c>
      <c r="AR49" s="169">
        <f>IF(AND(CagrTable[[#This Row],[Is Short]], NOT(CagrTable[[#This Row],[Is Naked Short]])), CagrTable[[#This Row],[Qty]] * IF(CagrTable[[#This Row],[Is Option]], 100, 1), 0)</f>
        <v>800</v>
      </c>
      <c r="AS49" s="169">
        <f>SUM(CagrTable[[#This Row],[Long Share Equivalent]:[Covered Short Share Equivalent]])</f>
        <v>800</v>
      </c>
      <c r="AT49" s="169">
        <f>IF(CagrTable[[#This Row],[Is Open]], SUM(CagrTable[[#This Row],[Long Share Equivalent]:[ACB Put Share Equivalent]]), 0)</f>
        <v>0</v>
      </c>
      <c r="AU49" s="166">
        <f>IF(OR(CagrTable[[#This Row],[Is Long]], CagrTable[[#This Row],[Is DIV]]), CagrTable[[#This Row],[Acquire Date]], CagrTable[[#This Row],[Sell Date]])</f>
        <v>46050.576145833336</v>
      </c>
      <c r="AV49" s="166" t="str">
        <f>IF(NOT(CagrTable[[#This Row],[Is Option]]), IF(OR(CagrTable[[#This Row],[Is Long]], CagrTable[[#This Row],[Is DIV]]), CagrTable[[#This Row],[Sell Date]], CagrTable[[#This Row],[Acquire Date]]), "")</f>
        <v/>
      </c>
      <c r="AW49" s="166" t="str">
        <f>IF(AND(CagrTable[[#This Row],[Is Option]], CagrTable[[#This Row],[Is Open]]), IF(CagrTable[[#This Row],[Is Long Call]], CagrTable[[#This Row],[Exp Date]], MIN(MockToday, CagrTable[[#This Row],[Exp Date]])), "")</f>
        <v/>
      </c>
      <c r="AX49" s="166">
        <f>IF(AND(CagrTable[[#This Row],[Is Option]], NOT(CagrTable[[#This Row],[Is Open]])), IF(CagrTable[[#This Row],[Is Long]], CagrTable[[#This Row],[Sell Date]], CagrTable[[#This Row],[Acquire Date]]), "")</f>
        <v>46052.579641203702</v>
      </c>
      <c r="AY49" s="166" cm="1">
        <f t="array" ref="AY49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46052.579641203702</v>
      </c>
      <c r="AZ49" s="80" t="b">
        <f>IF(AND(CagrTable[[#This Row],[Visible]], CagrTable[[#This Row],[Is Open]]), OR(CagrTable[[#This Row],[Is Long]], AND(CagrTable[[#This Row],[Is Short]], CagrTable[[#This Row],[Is Naked Call]])), FALSE)</f>
        <v>0</v>
      </c>
      <c r="BA49" s="80" t="b">
        <f>AND(CagrTable[[#This Row],[Visible]], OR(NOT(CagrTable[[#This Row],[Is PLUG]]), CagrTable[[#This Row],[Plug Type]] = "MTM"))</f>
        <v>0</v>
      </c>
      <c r="BB49" s="80" t="b">
        <f>AND(CagrTable[[#This Row],[Visible]],NOT(CagrTable[[#This Row],[Is Open]]),NOT(CagrTable[[#This Row],[Plug Type]] = "MC"),CagrTable[[#This Row],[Position]]&lt;&gt;"DIV")</f>
        <v>0</v>
      </c>
      <c r="BC49" s="193">
        <f>IF(AND(CagrTable[[#This Row],[Visible]], CagrTable[[#This Row],[Plug Type]] = "MC"), CagrTable[[#This Row],[Basis]], 0)</f>
        <v>0</v>
      </c>
      <c r="BD49" s="182">
        <f>IF(CagrTable[[#This Row],[Is PLUG]], 0, CagrTable[[#This Row],[Proceeds]] - CagrTable[[#This Row],[Basis]])</f>
        <v>329.06</v>
      </c>
      <c r="BE49" s="180">
        <f>IF(AND(OR(CagrTable[[#This Row],[Is Short Call]],CagrTable[[#This Row],[Is Short Put]])), CagrTable[[#This Row],[Proceeds]], 0)</f>
        <v>513.26</v>
      </c>
      <c r="BF49" s="180">
        <f>IF(AND(OR(CagrTable[[#This Row],[Is Short Call]],CagrTable[[#This Row],[Is Short Put]])), CagrTable[[#This Row],[Basis]], 0)</f>
        <v>184.2</v>
      </c>
      <c r="BG49" s="173">
        <f>IF(CagrTable[[#This Row],[Covered Short Share Equivalent]] &gt; 0,-1 * CagrTable[[#This Row],[Premium Input]] / CagrTable[[#This Row],[Covered Short Share Equivalent]], 0)</f>
        <v>-0.64157500000000001</v>
      </c>
      <c r="BH49" s="173">
        <f>IF(CagrTable[[#This Row],[Covered Short Share Equivalent]] &gt; 0, CagrTable[[#This Row],[Premium Offset Input]] / CagrTable[[#This Row],[Covered Short Share Equivalent]], 0)</f>
        <v>0.23024999999999998</v>
      </c>
      <c r="BI49" s="173">
        <f>SUM(CagrTable[[#This Row],[Premium ACB]:[Premium Offset ACB]])</f>
        <v>-0.41132500000000005</v>
      </c>
      <c r="BJ49" s="173">
        <f>IF(CagrTable[[#This Row],[Is Naked Short]],-1 * CagrTable[[#This Row],[Strike Price]] - (CagrTable[[#This Row],[Proceeds]] / CagrTable[[#This Row],[Naked Short Share Equivalent]]), 0)</f>
        <v>0</v>
      </c>
      <c r="BK49" s="173">
        <f>IF(CagrTable[[#This Row],[Is Short Put]], CagrTable[[#This Row],[Strike Price]] + CagrTable[[#This Row],[Net Short Premium ACB]], 0)</f>
        <v>0</v>
      </c>
      <c r="BL49" s="173">
        <f>IF(AND(CagrTable[[#This Row],[Is Long Call]], NOT(CagrTable[[#This Row],[Is PLUG]])), -1 * CagrTable[[#This Row],[P&amp;L]]/(CagrTable[[#This Row],[Qty]] * 100), 0)</f>
        <v>0</v>
      </c>
      <c r="BM49" s="173">
        <f>IF(AND(NOT(CagrTable[[#This Row],[Is Option]]), NOT(CagrTable[[#This Row],[Is PLUG]]), OR(CagrTable[[#This Row],[Is Open]], CagrTable[[#This Row],[Is DIV]]), N(CagrTable[[#This Row],[Qty]])&lt;&gt;0), -CagrTable[[#This Row],[P&amp;L]]/CagrTable[[#This Row],[Qty]], 0)</f>
        <v>0</v>
      </c>
      <c r="BN49" s="173" t="b">
        <f>AND(_Total_ACB_Shares&lt;&gt;0, NOT(CagrTable[[#This Row],[Is PLUG]]))</f>
        <v>0</v>
      </c>
      <c r="BO49" s="173">
        <f>IF(OR(_Total_ACB_Shares=0, CagrTable[[#This Row],[Is PLUG]]), 0, (CagrTable[[#This Row],[ACB]] * CagrTable[[#This Row],[Qty]] * IF(CagrTable[[#This Row],[Is Option]], 100, 1))/ _Total_ACB_Shares)</f>
        <v>0</v>
      </c>
      <c r="BP49" s="184">
        <f t="shared" si="3"/>
        <v>1</v>
      </c>
      <c r="BQ49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-0.41132500000000005</v>
      </c>
      <c r="BR49" s="174">
        <f>CagrTable[[#This Row],[Prelim Weighted ACB]] * CagrTable[[#This Row],[ACB Sign]]</f>
        <v>0</v>
      </c>
      <c r="BS49" s="62">
        <f>CagrTable[[#This Row],[Proceeds]] - CagrTable[[#This Row],[Basis]]</f>
        <v>329.06</v>
      </c>
      <c r="BT49" s="91" t="s">
        <v>80</v>
      </c>
      <c r="BU49" s="63" t="s">
        <v>62</v>
      </c>
      <c r="BV49" s="63" t="s">
        <v>92</v>
      </c>
      <c r="BW49" s="63" t="s">
        <v>101</v>
      </c>
      <c r="BX49" s="27"/>
      <c r="BY49" s="58">
        <v>20.149999999999999</v>
      </c>
      <c r="BZ49" s="58">
        <v>0.65</v>
      </c>
      <c r="CA49" s="100">
        <v>46050.576145833336</v>
      </c>
      <c r="CB49" s="58">
        <v>0.82</v>
      </c>
      <c r="CC49" s="58">
        <v>0.45</v>
      </c>
      <c r="CD49" s="65">
        <v>54</v>
      </c>
      <c r="CE49" s="82"/>
      <c r="CF49" s="66" t="s">
        <v>73</v>
      </c>
      <c r="CG49" s="58"/>
      <c r="CH49" s="66" t="s">
        <v>279</v>
      </c>
      <c r="CI49" s="66"/>
      <c r="CJ49" s="66"/>
      <c r="CK49" s="58">
        <v>17.600000000000001</v>
      </c>
      <c r="CL49" s="58">
        <v>0.23</v>
      </c>
      <c r="CM49" s="64">
        <v>46052.579641203702</v>
      </c>
      <c r="CN49" s="58">
        <v>0.41</v>
      </c>
      <c r="CO49" s="58">
        <v>0.22</v>
      </c>
      <c r="CP49" s="67">
        <v>94</v>
      </c>
      <c r="CQ49" s="82"/>
      <c r="CR49" s="58" t="s">
        <v>73</v>
      </c>
      <c r="CS49" s="58"/>
      <c r="CT49" s="66" t="s">
        <v>285</v>
      </c>
      <c r="CU49" s="68"/>
      <c r="CV49" s="181" t="s">
        <v>280</v>
      </c>
      <c r="DC49" s="19"/>
      <c r="DL49" s="13"/>
    </row>
    <row r="50" spans="1:116" ht="12.75" hidden="1" customHeight="1">
      <c r="A50" s="69" t="s">
        <v>173</v>
      </c>
      <c r="B50" s="189" t="s">
        <v>60</v>
      </c>
      <c r="C50" s="88">
        <v>800</v>
      </c>
      <c r="D50" s="70">
        <v>2</v>
      </c>
      <c r="E50" s="1" t="str">
        <f>CONCATENATE(CagrTable[[#This Row],[Symbol]], CagrTable[[#This Row],[ID]])</f>
        <v>SMR2</v>
      </c>
      <c r="F50" s="55"/>
      <c r="G50" s="56">
        <v>46073</v>
      </c>
      <c r="H50" s="58">
        <v>13600</v>
      </c>
      <c r="I50" s="57">
        <f>IF(ISNUMBER(CagrTable[[#This Row],[Qty]]),CagrTable[[#This Row],[Basis]] /CagrTable[[#This Row],[Qty]], "")</f>
        <v>17</v>
      </c>
      <c r="J50" s="56">
        <v>46101</v>
      </c>
      <c r="K50" s="58">
        <v>0</v>
      </c>
      <c r="L50" s="78">
        <f>IF(ISNUMBER(CagrTable[[#This Row],[Qty]]),CagrTable[[#This Row],[Proceeds]] / CagrTable[[#This Row],[Qty]], "")</f>
        <v>0</v>
      </c>
      <c r="M50" s="77">
        <f>IF(CagrTable[[#This Row],[Is Open]], CagrTable[[#This Row],[Date Opened]], CagrTable[[#This Row],[Date Closed]])</f>
        <v>46073</v>
      </c>
      <c r="N50" s="101"/>
      <c r="O50"/>
      <c r="P50" s="177"/>
      <c r="Q50" s="176"/>
      <c r="R50" s="71">
        <f>IF(CagrTable[[#This Row],[Sell Date]]=CagrTable[[#This Row],[Acquire Date]], 1, ABS(CagrTable[[#This Row],[Sell Date]] - CagrTable[[#This Row],[Acquire Date]]))</f>
        <v>28</v>
      </c>
      <c r="S50" s="59">
        <f>CagrTable[[#This Row],[Days Held]] / 30</f>
        <v>0.93333333333333335</v>
      </c>
      <c r="T50" s="178">
        <v>0</v>
      </c>
      <c r="U50" s="179"/>
      <c r="V50" s="158">
        <v>46073.729166666664</v>
      </c>
      <c r="W50" s="60">
        <v>17</v>
      </c>
      <c r="X50" s="75"/>
      <c r="Y50" s="61" t="s">
        <v>281</v>
      </c>
      <c r="Z50" s="85" t="str">
        <f>IF(OR(CagrTable[[#This Row],[Is Closed]]="", CagrTable[[#This Row],[Is Closed]]="H"),"Y","")</f>
        <v>Y</v>
      </c>
      <c r="AA50" s="85" t="str">
        <f>IF(OR(CagrTable[[#This Row],[Position]]="LNG",CagrTable[[#This Row],[Position]]="SHRT"),"Equity","Option")</f>
        <v>Equity</v>
      </c>
      <c r="AB50" s="84" t="str">
        <f>IF(CagrTable[[#This Row],[Pricing Update Included]]="Y",IF(CagrTable[[#This Row],[Pricing Update Asset]]="Equity",CagrTable[[#This Row],[Symbol]],CagrTable[[#This Row],[Option Symbol]]),"")</f>
        <v>SMR</v>
      </c>
      <c r="AC50" s="80">
        <f>SUBTOTAL(103,CagrTable[[#This Row],[Symbol]])</f>
        <v>0</v>
      </c>
      <c r="AD50" s="80" t="b">
        <f>LEFT(CagrTable[[#This Row],[Position]],1)="L"</f>
        <v>1</v>
      </c>
      <c r="AE50" s="80" t="b">
        <f>LEFT(CagrTable[[#This Row],[Position]],1)="S"</f>
        <v>0</v>
      </c>
      <c r="AF50" s="80" t="b">
        <f>(CagrTable[[#This Row],[Position]] = "DIV")</f>
        <v>0</v>
      </c>
      <c r="AG50" s="80" t="b">
        <f>CagrTable[[#This Row],[Position]] = "PLUG"</f>
        <v>0</v>
      </c>
      <c r="AH50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0</v>
      </c>
      <c r="AI50" s="80" t="b">
        <f>CagrTable[[#This Row],[Is Closed]] &lt;&gt; "Y"</f>
        <v>1</v>
      </c>
      <c r="AJ50" s="84" t="b">
        <f>OR(CagrTable[[#This Row],[Option Type]]&lt;&gt;"",
  CagrTable[[#This Row],[Position]]="LC", CagrTable[[#This Row],[Position]]="SC",
  CagrTable[[#This Row],[Position]]="LP",CagrTable[[#This Row],[Position]]="SP"
)</f>
        <v>0</v>
      </c>
      <c r="AK50" s="84" t="b">
        <f>AND(CagrTable[[#This Row],[Option Type]] = "C", CagrTable[[#This Row],[Is Short]])</f>
        <v>0</v>
      </c>
      <c r="AL50" s="84" t="b">
        <f>AND(CagrTable[[#This Row],[Is Short Call]],CagrTable[[#This Row],[Is Naked Call]] = TRUE)</f>
        <v>0</v>
      </c>
      <c r="AM50" s="84" t="b">
        <f>AND(CagrTable[[#This Row],[Option Type]] = "P", CagrTable[[#This Row],[Is Short]])</f>
        <v>0</v>
      </c>
      <c r="AN50" s="84" t="b">
        <f>CagrTable[[#This Row],[Position]]= "LC"</f>
        <v>0</v>
      </c>
      <c r="AO50" s="169">
        <f>IF(AND(CagrTable[[#This Row],[Is Long]], NOT(CagrTable[[#This Row],[Position]]="LP")), CagrTable[[#This Row],[Qty]] * IF(CagrTable[[#This Row],[Is Option]], 100, 1), 0)</f>
        <v>800</v>
      </c>
      <c r="AP50" s="169">
        <f>IF(CagrTable[[#This Row],[Is Naked Short]], CagrTable[[#This Row],[Qty]] * -100, 0)</f>
        <v>0</v>
      </c>
      <c r="AQ50" s="169">
        <f>IF(CagrTable[[#This Row],[Is ACB Put]], CagrTable[[#This Row],[Qty]] * -100, 0)</f>
        <v>0</v>
      </c>
      <c r="AR50" s="169">
        <f>IF(AND(CagrTable[[#This Row],[Is Short]], NOT(CagrTable[[#This Row],[Is Naked Short]])), CagrTable[[#This Row],[Qty]] * IF(CagrTable[[#This Row],[Is Option]], 100, 1), 0)</f>
        <v>0</v>
      </c>
      <c r="AS50" s="169">
        <f>SUM(CagrTable[[#This Row],[Long Share Equivalent]:[Covered Short Share Equivalent]])</f>
        <v>800</v>
      </c>
      <c r="AT50" s="169">
        <f>IF(CagrTable[[#This Row],[Is Open]], SUM(CagrTable[[#This Row],[Long Share Equivalent]:[ACB Put Share Equivalent]]), 0)</f>
        <v>800</v>
      </c>
      <c r="AU50" s="166">
        <f>IF(OR(CagrTable[[#This Row],[Is Long]], CagrTable[[#This Row],[Is DIV]]), CagrTable[[#This Row],[Acquire Date]], CagrTable[[#This Row],[Sell Date]])</f>
        <v>46073</v>
      </c>
      <c r="AV50" s="166">
        <f>IF(NOT(CagrTable[[#This Row],[Is Option]]), IF(OR(CagrTable[[#This Row],[Is Long]], CagrTable[[#This Row],[Is DIV]]), CagrTable[[#This Row],[Sell Date]], CagrTable[[#This Row],[Acquire Date]]), "")</f>
        <v>46101</v>
      </c>
      <c r="AW50" s="166" t="str">
        <f>IF(AND(CagrTable[[#This Row],[Is Option]], CagrTable[[#This Row],[Is Open]]), IF(CagrTable[[#This Row],[Is Long Call]], CagrTable[[#This Row],[Exp Date]], MIN(MockToday, CagrTable[[#This Row],[Exp Date]])), "")</f>
        <v/>
      </c>
      <c r="AX50" s="166" t="str">
        <f>IF(AND(CagrTable[[#This Row],[Is Option]], NOT(CagrTable[[#This Row],[Is Open]])), IF(CagrTable[[#This Row],[Is Long]], CagrTable[[#This Row],[Sell Date]], CagrTable[[#This Row],[Acquire Date]]), "")</f>
        <v/>
      </c>
      <c r="AY50" s="166" cm="1">
        <f t="array" ref="AY50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46101</v>
      </c>
      <c r="AZ50" s="80" t="b">
        <f>IF(AND(CagrTable[[#This Row],[Visible]], CagrTable[[#This Row],[Is Open]]), OR(CagrTable[[#This Row],[Is Long]], AND(CagrTable[[#This Row],[Is Short]], CagrTable[[#This Row],[Is Naked Call]])), FALSE)</f>
        <v>0</v>
      </c>
      <c r="BA50" s="80" t="b">
        <f>AND(CagrTable[[#This Row],[Visible]], OR(NOT(CagrTable[[#This Row],[Is PLUG]]), CagrTable[[#This Row],[Plug Type]] = "MTM"))</f>
        <v>0</v>
      </c>
      <c r="BB50" s="80" t="b">
        <f>AND(CagrTable[[#This Row],[Visible]],NOT(CagrTable[[#This Row],[Is Open]]),NOT(CagrTable[[#This Row],[Plug Type]] = "MC"),CagrTable[[#This Row],[Position]]&lt;&gt;"DIV")</f>
        <v>0</v>
      </c>
      <c r="BC50" s="193">
        <f>IF(AND(CagrTable[[#This Row],[Visible]], CagrTable[[#This Row],[Plug Type]] = "MC"), CagrTable[[#This Row],[Basis]], 0)</f>
        <v>0</v>
      </c>
      <c r="BD50" s="182">
        <f>IF(CagrTable[[#This Row],[Is PLUG]], 0, CagrTable[[#This Row],[Proceeds]] - CagrTable[[#This Row],[Basis]])</f>
        <v>-13600</v>
      </c>
      <c r="BE50" s="180">
        <f>IF(AND(OR(CagrTable[[#This Row],[Is Short Call]],CagrTable[[#This Row],[Is Short Put]])), CagrTable[[#This Row],[Proceeds]], 0)</f>
        <v>0</v>
      </c>
      <c r="BF50" s="180">
        <f>IF(AND(OR(CagrTable[[#This Row],[Is Short Call]],CagrTable[[#This Row],[Is Short Put]])), CagrTable[[#This Row],[Basis]], 0)</f>
        <v>0</v>
      </c>
      <c r="BG50" s="173">
        <f>IF(CagrTable[[#This Row],[Covered Short Share Equivalent]] &gt; 0,-1 * CagrTable[[#This Row],[Premium Input]] / CagrTable[[#This Row],[Covered Short Share Equivalent]], 0)</f>
        <v>0</v>
      </c>
      <c r="BH50" s="173">
        <f>IF(CagrTable[[#This Row],[Covered Short Share Equivalent]] &gt; 0, CagrTable[[#This Row],[Premium Offset Input]] / CagrTable[[#This Row],[Covered Short Share Equivalent]], 0)</f>
        <v>0</v>
      </c>
      <c r="BI50" s="173">
        <f>SUM(CagrTable[[#This Row],[Premium ACB]:[Premium Offset ACB]])</f>
        <v>0</v>
      </c>
      <c r="BJ50" s="173">
        <f>IF(CagrTable[[#This Row],[Is Naked Short]],-1 * CagrTable[[#This Row],[Strike Price]] - (CagrTable[[#This Row],[Proceeds]] / CagrTable[[#This Row],[Naked Short Share Equivalent]]), 0)</f>
        <v>0</v>
      </c>
      <c r="BK50" s="173">
        <f>IF(CagrTable[[#This Row],[Is Short Put]], CagrTable[[#This Row],[Strike Price]] + CagrTable[[#This Row],[Net Short Premium ACB]], 0)</f>
        <v>0</v>
      </c>
      <c r="BL50" s="173">
        <f>IF(AND(CagrTable[[#This Row],[Is Long Call]], NOT(CagrTable[[#This Row],[Is PLUG]])), -1 * CagrTable[[#This Row],[P&amp;L]]/(CagrTable[[#This Row],[Qty]] * 100), 0)</f>
        <v>0</v>
      </c>
      <c r="BM50" s="173">
        <f>IF(AND(NOT(CagrTable[[#This Row],[Is Option]]), NOT(CagrTable[[#This Row],[Is PLUG]]), OR(CagrTable[[#This Row],[Is Open]], CagrTable[[#This Row],[Is DIV]]), N(CagrTable[[#This Row],[Qty]])&lt;&gt;0), -CagrTable[[#This Row],[P&amp;L]]/CagrTable[[#This Row],[Qty]], 0)</f>
        <v>17</v>
      </c>
      <c r="BN50" s="173" t="b">
        <f>AND(_Total_ACB_Shares&lt;&gt;0, NOT(CagrTable[[#This Row],[Is PLUG]]))</f>
        <v>0</v>
      </c>
      <c r="BO50" s="173">
        <f>IF(OR(_Total_ACB_Shares=0, CagrTable[[#This Row],[Is PLUG]]), 0, (CagrTable[[#This Row],[ACB]] * CagrTable[[#This Row],[Qty]] * IF(CagrTable[[#This Row],[Is Option]], 100, 1))/ _Total_ACB_Shares)</f>
        <v>0</v>
      </c>
      <c r="BP50" s="184">
        <f t="shared" si="3"/>
        <v>1</v>
      </c>
      <c r="BQ50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17</v>
      </c>
      <c r="BR50" s="174">
        <f>CagrTable[[#This Row],[Prelim Weighted ACB]] * CagrTable[[#This Row],[ACB Sign]]</f>
        <v>0</v>
      </c>
      <c r="BS50" s="62">
        <f>CagrTable[[#This Row],[Proceeds]] - CagrTable[[#This Row],[Basis]]</f>
        <v>-13600</v>
      </c>
      <c r="BT50" s="91" t="s">
        <v>84</v>
      </c>
      <c r="BU50" s="63" t="s">
        <v>74</v>
      </c>
      <c r="BV50" s="63" t="s">
        <v>71</v>
      </c>
      <c r="BW50" s="63"/>
      <c r="BX50" s="27"/>
      <c r="BY50" s="58">
        <v>0</v>
      </c>
      <c r="BZ50" s="58">
        <v>17</v>
      </c>
      <c r="CA50" s="100">
        <v>46072.729166666664</v>
      </c>
      <c r="CB50" s="58">
        <v>0</v>
      </c>
      <c r="CC50" s="58">
        <v>0</v>
      </c>
      <c r="CD50" s="65">
        <v>-1</v>
      </c>
      <c r="CE50" s="82"/>
      <c r="CF50" s="66" t="s">
        <v>64</v>
      </c>
      <c r="CG50" s="58">
        <v>17</v>
      </c>
      <c r="CH50" s="66" t="s">
        <v>287</v>
      </c>
      <c r="CI50" s="66"/>
      <c r="CJ50" s="66"/>
      <c r="CK50" s="58"/>
      <c r="CL50" s="58"/>
      <c r="CM50" s="64"/>
      <c r="CN50" s="58"/>
      <c r="CO50" s="58"/>
      <c r="CP50" s="67"/>
      <c r="CQ50" s="82"/>
      <c r="CR50" s="58"/>
      <c r="CS50" s="58"/>
      <c r="CT50" s="66"/>
      <c r="CU50" s="68"/>
      <c r="CV50" s="181" t="s">
        <v>286</v>
      </c>
      <c r="DC50" s="19"/>
      <c r="DL50" s="13"/>
    </row>
    <row r="51" spans="1:116" ht="12.75" hidden="1" customHeight="1">
      <c r="A51" s="69" t="s">
        <v>173</v>
      </c>
      <c r="B51" s="189" t="s">
        <v>78</v>
      </c>
      <c r="C51" s="88">
        <v>8</v>
      </c>
      <c r="D51" s="70">
        <v>2</v>
      </c>
      <c r="E51" s="1" t="str">
        <f>CONCATENATE(CagrTable[[#This Row],[Symbol]], CagrTable[[#This Row],[ID]])</f>
        <v>SMR2</v>
      </c>
      <c r="F51" s="55" t="s">
        <v>61</v>
      </c>
      <c r="G51" s="56">
        <v>46073.729166666664</v>
      </c>
      <c r="H51" s="58">
        <v>0</v>
      </c>
      <c r="I51" s="57">
        <f>IF(ISNUMBER(CagrTable[[#This Row],[Qty]]),CagrTable[[#This Row],[Basis]] /CagrTable[[#This Row],[Qty]], "")</f>
        <v>0</v>
      </c>
      <c r="J51" s="56">
        <v>46050.57603009259</v>
      </c>
      <c r="K51" s="58">
        <v>514.61</v>
      </c>
      <c r="L51" s="78">
        <f>IF(ISNUMBER(CagrTable[[#This Row],[Qty]]),CagrTable[[#This Row],[Proceeds]] / CagrTable[[#This Row],[Qty]], "")</f>
        <v>64.326250000000002</v>
      </c>
      <c r="M51" s="77">
        <f>IF(CagrTable[[#This Row],[Is Open]], CagrTable[[#This Row],[Date Opened]], CagrTable[[#This Row],[Date Closed]])</f>
        <v>46073.729166666664</v>
      </c>
      <c r="N51" s="101"/>
      <c r="O51"/>
      <c r="P51" s="177"/>
      <c r="Q51" s="176"/>
      <c r="R51" s="71">
        <f>IF(CagrTable[[#This Row],[Sell Date]]=CagrTable[[#This Row],[Acquire Date]], 1, ABS(CagrTable[[#This Row],[Sell Date]] - CagrTable[[#This Row],[Acquire Date]]))</f>
        <v>23.153136574073869</v>
      </c>
      <c r="S51" s="59">
        <f>CagrTable[[#This Row],[Days Held]] / 30</f>
        <v>0.77177121913579561</v>
      </c>
      <c r="T51" s="178">
        <v>5.39</v>
      </c>
      <c r="U51" s="179"/>
      <c r="V51" s="158">
        <v>46073.729166666664</v>
      </c>
      <c r="W51" s="60">
        <v>17</v>
      </c>
      <c r="X51" s="75" t="s">
        <v>83</v>
      </c>
      <c r="Y51" s="61" t="s">
        <v>281</v>
      </c>
      <c r="Z51" s="85" t="str">
        <f>IF(OR(CagrTable[[#This Row],[Is Closed]]="", CagrTable[[#This Row],[Is Closed]]="H"),"Y","")</f>
        <v/>
      </c>
      <c r="AA51" s="85" t="str">
        <f>IF(OR(CagrTable[[#This Row],[Position]]="LNG",CagrTable[[#This Row],[Position]]="SHRT"),"Equity","Option")</f>
        <v>Option</v>
      </c>
      <c r="AB51" s="84" t="str">
        <f>IF(CagrTable[[#This Row],[Pricing Update Included]]="Y",IF(CagrTable[[#This Row],[Pricing Update Asset]]="Equity",CagrTable[[#This Row],[Symbol]],CagrTable[[#This Row],[Option Symbol]]),"")</f>
        <v/>
      </c>
      <c r="AC51" s="80">
        <f>SUBTOTAL(103,CagrTable[[#This Row],[Symbol]])</f>
        <v>0</v>
      </c>
      <c r="AD51" s="80" t="b">
        <f>LEFT(CagrTable[[#This Row],[Position]],1)="L"</f>
        <v>0</v>
      </c>
      <c r="AE51" s="80" t="b">
        <f>LEFT(CagrTable[[#This Row],[Position]],1)="S"</f>
        <v>1</v>
      </c>
      <c r="AF51" s="80" t="b">
        <f>(CagrTable[[#This Row],[Position]] = "DIV")</f>
        <v>0</v>
      </c>
      <c r="AG51" s="80" t="b">
        <f>CagrTable[[#This Row],[Position]] = "PLUG"</f>
        <v>0</v>
      </c>
      <c r="AH51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0</v>
      </c>
      <c r="AI51" s="80" t="b">
        <f>CagrTable[[#This Row],[Is Closed]] &lt;&gt; "Y"</f>
        <v>0</v>
      </c>
      <c r="AJ51" s="84" t="b">
        <f>OR(CagrTable[[#This Row],[Option Type]]&lt;&gt;"",
  CagrTable[[#This Row],[Position]]="LC", CagrTable[[#This Row],[Position]]="SC",
  CagrTable[[#This Row],[Position]]="LP",CagrTable[[#This Row],[Position]]="SP"
)</f>
        <v>1</v>
      </c>
      <c r="AK51" s="84" t="b">
        <f>AND(CagrTable[[#This Row],[Option Type]] = "C", CagrTable[[#This Row],[Is Short]])</f>
        <v>0</v>
      </c>
      <c r="AL51" s="84" t="b">
        <f>AND(CagrTable[[#This Row],[Is Short Call]],CagrTable[[#This Row],[Is Naked Call]] = TRUE)</f>
        <v>0</v>
      </c>
      <c r="AM51" s="84" t="b">
        <f>AND(CagrTable[[#This Row],[Option Type]] = "P", CagrTable[[#This Row],[Is Short]])</f>
        <v>1</v>
      </c>
      <c r="AN51" s="84" t="b">
        <f>CagrTable[[#This Row],[Position]]= "LC"</f>
        <v>0</v>
      </c>
      <c r="AO51" s="169">
        <f>IF(AND(CagrTable[[#This Row],[Is Long]], NOT(CagrTable[[#This Row],[Position]]="LP")), CagrTable[[#This Row],[Qty]] * IF(CagrTable[[#This Row],[Is Option]], 100, 1), 0)</f>
        <v>0</v>
      </c>
      <c r="AP51" s="169">
        <f>IF(CagrTable[[#This Row],[Is Naked Short]], CagrTable[[#This Row],[Qty]] * -100, 0)</f>
        <v>0</v>
      </c>
      <c r="AQ51" s="169">
        <f>IF(CagrTable[[#This Row],[Is ACB Put]], CagrTable[[#This Row],[Qty]] * -100, 0)</f>
        <v>0</v>
      </c>
      <c r="AR51" s="169">
        <f>IF(AND(CagrTable[[#This Row],[Is Short]], NOT(CagrTable[[#This Row],[Is Naked Short]])), CagrTable[[#This Row],[Qty]] * IF(CagrTable[[#This Row],[Is Option]], 100, 1), 0)</f>
        <v>800</v>
      </c>
      <c r="AS51" s="169">
        <f>SUM(CagrTable[[#This Row],[Long Share Equivalent]:[Covered Short Share Equivalent]])</f>
        <v>800</v>
      </c>
      <c r="AT51" s="169">
        <f>IF(CagrTable[[#This Row],[Is Open]], SUM(CagrTable[[#This Row],[Long Share Equivalent]:[ACB Put Share Equivalent]]), 0)</f>
        <v>0</v>
      </c>
      <c r="AU51" s="166">
        <f>IF(OR(CagrTable[[#This Row],[Is Long]], CagrTable[[#This Row],[Is DIV]]), CagrTable[[#This Row],[Acquire Date]], CagrTable[[#This Row],[Sell Date]])</f>
        <v>46050.57603009259</v>
      </c>
      <c r="AV51" s="166" t="str">
        <f>IF(NOT(CagrTable[[#This Row],[Is Option]]), IF(OR(CagrTable[[#This Row],[Is Long]], CagrTable[[#This Row],[Is DIV]]), CagrTable[[#This Row],[Sell Date]], CagrTable[[#This Row],[Acquire Date]]), "")</f>
        <v/>
      </c>
      <c r="AW51" s="166" t="str">
        <f>IF(AND(CagrTable[[#This Row],[Is Option]], CagrTable[[#This Row],[Is Open]]), IF(CagrTable[[#This Row],[Is Long Call]], CagrTable[[#This Row],[Exp Date]], MIN(MockToday, CagrTable[[#This Row],[Exp Date]])), "")</f>
        <v/>
      </c>
      <c r="AX51" s="166">
        <f>IF(AND(CagrTable[[#This Row],[Is Option]], NOT(CagrTable[[#This Row],[Is Open]])), IF(CagrTable[[#This Row],[Is Long]], CagrTable[[#This Row],[Sell Date]], CagrTable[[#This Row],[Acquire Date]]), "")</f>
        <v>46073.729166666664</v>
      </c>
      <c r="AY51" s="166" cm="1">
        <f t="array" ref="AY51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46073.729166666664</v>
      </c>
      <c r="AZ51" s="80" t="b">
        <f>IF(AND(CagrTable[[#This Row],[Visible]], CagrTable[[#This Row],[Is Open]]), OR(CagrTable[[#This Row],[Is Long]], AND(CagrTable[[#This Row],[Is Short]], CagrTable[[#This Row],[Is Naked Call]])), FALSE)</f>
        <v>0</v>
      </c>
      <c r="BA51" s="80" t="b">
        <f>AND(CagrTable[[#This Row],[Visible]], OR(NOT(CagrTable[[#This Row],[Is PLUG]]), CagrTable[[#This Row],[Plug Type]] = "MTM"))</f>
        <v>0</v>
      </c>
      <c r="BB51" s="80" t="b">
        <f>AND(CagrTable[[#This Row],[Visible]],NOT(CagrTable[[#This Row],[Is Open]]),NOT(CagrTable[[#This Row],[Plug Type]] = "MC"),CagrTable[[#This Row],[Position]]&lt;&gt;"DIV")</f>
        <v>0</v>
      </c>
      <c r="BC51" s="193">
        <f>IF(AND(CagrTable[[#This Row],[Visible]], CagrTable[[#This Row],[Plug Type]] = "MC"), CagrTable[[#This Row],[Basis]], 0)</f>
        <v>0</v>
      </c>
      <c r="BD51" s="182">
        <f>IF(CagrTable[[#This Row],[Is PLUG]], 0, CagrTable[[#This Row],[Proceeds]] - CagrTable[[#This Row],[Basis]])</f>
        <v>514.61</v>
      </c>
      <c r="BE51" s="180">
        <f>IF(AND(OR(CagrTable[[#This Row],[Is Short Call]],CagrTable[[#This Row],[Is Short Put]])), CagrTable[[#This Row],[Proceeds]], 0)</f>
        <v>514.61</v>
      </c>
      <c r="BF51" s="180">
        <f>IF(AND(OR(CagrTable[[#This Row],[Is Short Call]],CagrTable[[#This Row],[Is Short Put]])), CagrTable[[#This Row],[Basis]], 0)</f>
        <v>0</v>
      </c>
      <c r="BG51" s="173">
        <f>IF(CagrTable[[#This Row],[Covered Short Share Equivalent]] &gt; 0,-1 * CagrTable[[#This Row],[Premium Input]] / CagrTable[[#This Row],[Covered Short Share Equivalent]], 0)</f>
        <v>-0.64326250000000007</v>
      </c>
      <c r="BH51" s="173">
        <f>IF(CagrTable[[#This Row],[Covered Short Share Equivalent]] &gt; 0, CagrTable[[#This Row],[Premium Offset Input]] / CagrTable[[#This Row],[Covered Short Share Equivalent]], 0)</f>
        <v>0</v>
      </c>
      <c r="BI51" s="173">
        <f>SUM(CagrTable[[#This Row],[Premium ACB]:[Premium Offset ACB]])</f>
        <v>-0.64326250000000007</v>
      </c>
      <c r="BJ51" s="173">
        <f>IF(CagrTable[[#This Row],[Is Naked Short]],-1 * CagrTable[[#This Row],[Strike Price]] - (CagrTable[[#This Row],[Proceeds]] / CagrTable[[#This Row],[Naked Short Share Equivalent]]), 0)</f>
        <v>0</v>
      </c>
      <c r="BK51" s="173">
        <f>IF(CagrTable[[#This Row],[Is Short Put]], CagrTable[[#This Row],[Strike Price]] + CagrTable[[#This Row],[Net Short Premium ACB]], 0)</f>
        <v>16.356737500000001</v>
      </c>
      <c r="BL51" s="173">
        <f>IF(AND(CagrTable[[#This Row],[Is Long Call]], NOT(CagrTable[[#This Row],[Is PLUG]])), -1 * CagrTable[[#This Row],[P&amp;L]]/(CagrTable[[#This Row],[Qty]] * 100), 0)</f>
        <v>0</v>
      </c>
      <c r="BM51" s="173">
        <f>IF(AND(NOT(CagrTable[[#This Row],[Is Option]]), NOT(CagrTable[[#This Row],[Is PLUG]]), OR(CagrTable[[#This Row],[Is Open]], CagrTable[[#This Row],[Is DIV]]), N(CagrTable[[#This Row],[Qty]])&lt;&gt;0), -CagrTable[[#This Row],[P&amp;L]]/CagrTable[[#This Row],[Qty]], 0)</f>
        <v>0</v>
      </c>
      <c r="BN51" s="173" t="b">
        <f>AND(_Total_ACB_Shares&lt;&gt;0, NOT(CagrTable[[#This Row],[Is PLUG]]))</f>
        <v>0</v>
      </c>
      <c r="BO51" s="173">
        <f>IF(OR(_Total_ACB_Shares=0, CagrTable[[#This Row],[Is PLUG]]), 0, (CagrTable[[#This Row],[ACB]] * CagrTable[[#This Row],[Qty]] * IF(CagrTable[[#This Row],[Is Option]], 100, 1))/ _Total_ACB_Shares)</f>
        <v>0</v>
      </c>
      <c r="BP51" s="184">
        <f t="shared" si="3"/>
        <v>1</v>
      </c>
      <c r="BQ51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-0.64326250000000007</v>
      </c>
      <c r="BR51" s="174">
        <f>CagrTable[[#This Row],[Prelim Weighted ACB]] * CagrTable[[#This Row],[ACB Sign]]</f>
        <v>0</v>
      </c>
      <c r="BS51" s="62">
        <f>CagrTable[[#This Row],[Proceeds]] - CagrTable[[#This Row],[Basis]]</f>
        <v>514.61</v>
      </c>
      <c r="BT51" s="91" t="s">
        <v>80</v>
      </c>
      <c r="BU51" s="63" t="s">
        <v>62</v>
      </c>
      <c r="BV51" s="63" t="s">
        <v>92</v>
      </c>
      <c r="BW51" s="63" t="s">
        <v>101</v>
      </c>
      <c r="BX51" s="27"/>
      <c r="BY51" s="58">
        <v>20.100000000000001</v>
      </c>
      <c r="BZ51" s="58">
        <v>0.65</v>
      </c>
      <c r="CA51" s="100">
        <v>46050.57603009259</v>
      </c>
      <c r="CB51" s="58">
        <v>0.89</v>
      </c>
      <c r="CC51" s="58">
        <v>0.55000000000000004</v>
      </c>
      <c r="CD51" s="65">
        <v>29</v>
      </c>
      <c r="CE51" s="82"/>
      <c r="CF51" s="66" t="s">
        <v>73</v>
      </c>
      <c r="CG51" s="58"/>
      <c r="CH51" s="66" t="s">
        <v>282</v>
      </c>
      <c r="CI51" s="66" t="s">
        <v>65</v>
      </c>
      <c r="CJ51" s="66"/>
      <c r="CK51" s="58"/>
      <c r="CL51" s="58"/>
      <c r="CM51" s="64">
        <v>46073.708333333336</v>
      </c>
      <c r="CN51" s="58"/>
      <c r="CO51" s="58"/>
      <c r="CP51" s="67"/>
      <c r="CQ51" s="82"/>
      <c r="CR51" s="58"/>
      <c r="CS51" s="58"/>
      <c r="CT51" s="66" t="s">
        <v>66</v>
      </c>
      <c r="CU51" s="68"/>
      <c r="CV51" s="181" t="s">
        <v>283</v>
      </c>
      <c r="DC51" s="19"/>
      <c r="DL51" s="13"/>
    </row>
    <row r="52" spans="1:116" ht="12.75" hidden="1" customHeight="1">
      <c r="A52" s="69" t="s">
        <v>173</v>
      </c>
      <c r="B52" s="189" t="s">
        <v>67</v>
      </c>
      <c r="C52" s="88">
        <v>2</v>
      </c>
      <c r="D52" s="70">
        <v>2</v>
      </c>
      <c r="E52" s="1" t="str">
        <f>CONCATENATE(CagrTable[[#This Row],[Symbol]], CagrTable[[#This Row],[ID]])</f>
        <v>SMR2</v>
      </c>
      <c r="F52" s="55" t="s">
        <v>61</v>
      </c>
      <c r="G52" s="56">
        <v>46083.413460648146</v>
      </c>
      <c r="H52" s="58">
        <v>76.05</v>
      </c>
      <c r="I52" s="57">
        <f>IF(ISNUMBER(CagrTable[[#This Row],[Qty]]),CagrTable[[#This Row],[Basis]] /CagrTable[[#This Row],[Qty]], "")</f>
        <v>38.024999999999999</v>
      </c>
      <c r="J52" s="56">
        <v>46083.463263888887</v>
      </c>
      <c r="K52" s="58">
        <v>86.65</v>
      </c>
      <c r="L52" s="78">
        <f>IF(ISNUMBER(CagrTable[[#This Row],[Qty]]),CagrTable[[#This Row],[Proceeds]] / CagrTable[[#This Row],[Qty]], "")</f>
        <v>43.325000000000003</v>
      </c>
      <c r="M52" s="77">
        <f>IF(CagrTable[[#This Row],[Is Open]], CagrTable[[#This Row],[Date Opened]], CagrTable[[#This Row],[Date Closed]])</f>
        <v>46083.413460648146</v>
      </c>
      <c r="N52" s="101"/>
      <c r="O52"/>
      <c r="P52" s="177"/>
      <c r="Q52" s="176"/>
      <c r="R52" s="71">
        <f>IF(CagrTable[[#This Row],[Sell Date]]=CagrTable[[#This Row],[Acquire Date]], 1, ABS(CagrTable[[#This Row],[Sell Date]] - CagrTable[[#This Row],[Acquire Date]]))</f>
        <v>4.9803240741312038E-2</v>
      </c>
      <c r="S52" s="72">
        <f>CagrTable[[#This Row],[Days Held]] / 30</f>
        <v>1.6601080247104012E-3</v>
      </c>
      <c r="T52" s="178">
        <v>1.35</v>
      </c>
      <c r="U52" s="179">
        <v>0.05</v>
      </c>
      <c r="V52" s="158">
        <v>46101.729166666664</v>
      </c>
      <c r="W52" s="60">
        <v>16</v>
      </c>
      <c r="X52" s="75" t="s">
        <v>68</v>
      </c>
      <c r="Y52" s="61" t="s">
        <v>288</v>
      </c>
      <c r="Z52" s="85" t="str">
        <f>IF(OR(CagrTable[[#This Row],[Is Closed]]="", CagrTable[[#This Row],[Is Closed]]="H"),"Y","")</f>
        <v/>
      </c>
      <c r="AA52" s="85" t="str">
        <f>IF(OR(CagrTable[[#This Row],[Position]]="LNG",CagrTable[[#This Row],[Position]]="SHRT"),"Equity","Option")</f>
        <v>Option</v>
      </c>
      <c r="AB52" s="84" t="str">
        <f>IF(CagrTable[[#This Row],[Pricing Update Included]]="Y",IF(CagrTable[[#This Row],[Pricing Update Asset]]="Equity",CagrTable[[#This Row],[Symbol]],CagrTable[[#This Row],[Option Symbol]]),"")</f>
        <v/>
      </c>
      <c r="AC52" s="80">
        <f>SUBTOTAL(103,CagrTable[[#This Row],[Symbol]])</f>
        <v>0</v>
      </c>
      <c r="AD52" s="80" t="b">
        <f>LEFT(CagrTable[[#This Row],[Position]],1)="L"</f>
        <v>0</v>
      </c>
      <c r="AE52" s="80" t="b">
        <f>LEFT(CagrTable[[#This Row],[Position]],1)="S"</f>
        <v>1</v>
      </c>
      <c r="AF52" s="80" t="b">
        <f>(CagrTable[[#This Row],[Position]] = "DIV")</f>
        <v>0</v>
      </c>
      <c r="AG52" s="80" t="b">
        <f>CagrTable[[#This Row],[Position]] = "PLUG"</f>
        <v>0</v>
      </c>
      <c r="AH52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0</v>
      </c>
      <c r="AI52" s="80" t="b">
        <f>CagrTable[[#This Row],[Is Closed]] &lt;&gt; "Y"</f>
        <v>0</v>
      </c>
      <c r="AJ52" s="84" t="b">
        <f>OR(CagrTable[[#This Row],[Option Type]]&lt;&gt;"",
  CagrTable[[#This Row],[Position]]="LC", CagrTable[[#This Row],[Position]]="SC",
  CagrTable[[#This Row],[Position]]="LP",CagrTable[[#This Row],[Position]]="SP"
)</f>
        <v>1</v>
      </c>
      <c r="AK52" s="84" t="b">
        <f>AND(CagrTable[[#This Row],[Option Type]] = "C", CagrTable[[#This Row],[Is Short]])</f>
        <v>1</v>
      </c>
      <c r="AL52" s="84" t="b">
        <f>AND(CagrTable[[#This Row],[Is Short Call]],CagrTable[[#This Row],[Is Naked Call]] = TRUE)</f>
        <v>0</v>
      </c>
      <c r="AM52" s="84" t="b">
        <f>AND(CagrTable[[#This Row],[Option Type]] = "P", CagrTable[[#This Row],[Is Short]])</f>
        <v>0</v>
      </c>
      <c r="AN52" s="84" t="b">
        <f>CagrTable[[#This Row],[Position]]= "LC"</f>
        <v>0</v>
      </c>
      <c r="AO52" s="169">
        <f>IF(AND(CagrTable[[#This Row],[Is Long]], NOT(CagrTable[[#This Row],[Position]]="LP")), CagrTable[[#This Row],[Qty]] * IF(CagrTable[[#This Row],[Is Option]], 100, 1), 0)</f>
        <v>0</v>
      </c>
      <c r="AP52" s="169">
        <f>IF(CagrTable[[#This Row],[Is Naked Short]], CagrTable[[#This Row],[Qty]] * -100, 0)</f>
        <v>0</v>
      </c>
      <c r="AQ52" s="169">
        <f>IF(CagrTable[[#This Row],[Is ACB Put]], CagrTable[[#This Row],[Qty]] * -100, 0)</f>
        <v>0</v>
      </c>
      <c r="AR52" s="169">
        <f>IF(AND(CagrTable[[#This Row],[Is Short]], NOT(CagrTable[[#This Row],[Is Naked Short]])), CagrTable[[#This Row],[Qty]] * IF(CagrTable[[#This Row],[Is Option]], 100, 1), 0)</f>
        <v>200</v>
      </c>
      <c r="AS52" s="169">
        <f>SUM(CagrTable[[#This Row],[Long Share Equivalent]:[Covered Short Share Equivalent]])</f>
        <v>200</v>
      </c>
      <c r="AT52" s="169">
        <f>IF(CagrTable[[#This Row],[Is Open]], SUM(CagrTable[[#This Row],[Long Share Equivalent]:[ACB Put Share Equivalent]]), 0)</f>
        <v>0</v>
      </c>
      <c r="AU52" s="166">
        <f>IF(OR(CagrTable[[#This Row],[Is Long]], CagrTable[[#This Row],[Is DIV]]), CagrTable[[#This Row],[Acquire Date]], CagrTable[[#This Row],[Sell Date]])</f>
        <v>46083.463263888887</v>
      </c>
      <c r="AV52" s="166" t="str">
        <f>IF(NOT(CagrTable[[#This Row],[Is Option]]), IF(OR(CagrTable[[#This Row],[Is Long]], CagrTable[[#This Row],[Is DIV]]), CagrTable[[#This Row],[Sell Date]], CagrTable[[#This Row],[Acquire Date]]), "")</f>
        <v/>
      </c>
      <c r="AW52" s="166" t="str">
        <f>IF(AND(CagrTable[[#This Row],[Is Option]], CagrTable[[#This Row],[Is Open]]), IF(CagrTable[[#This Row],[Is Long Call]], CagrTable[[#This Row],[Exp Date]], MIN(MockToday, CagrTable[[#This Row],[Exp Date]])), "")</f>
        <v/>
      </c>
      <c r="AX52" s="166">
        <f>IF(AND(CagrTable[[#This Row],[Is Option]], NOT(CagrTable[[#This Row],[Is Open]])), IF(CagrTable[[#This Row],[Is Long]], CagrTable[[#This Row],[Sell Date]], CagrTable[[#This Row],[Acquire Date]]), "")</f>
        <v>46083.413460648146</v>
      </c>
      <c r="AY52" s="166" cm="1">
        <f t="array" ref="AY52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46083.413460648146</v>
      </c>
      <c r="AZ52" s="80" t="b">
        <f>IF(AND(CagrTable[[#This Row],[Visible]], CagrTable[[#This Row],[Is Open]]), OR(CagrTable[[#This Row],[Is Long]], AND(CagrTable[[#This Row],[Is Short]], CagrTable[[#This Row],[Is Naked Call]])), FALSE)</f>
        <v>0</v>
      </c>
      <c r="BA52" s="80" t="b">
        <f>AND(CagrTable[[#This Row],[Visible]], OR(NOT(CagrTable[[#This Row],[Is PLUG]]), CagrTable[[#This Row],[Plug Type]] = "MTM"))</f>
        <v>0</v>
      </c>
      <c r="BB52" s="80" t="b">
        <f>AND(CagrTable[[#This Row],[Visible]],NOT(CagrTable[[#This Row],[Is Open]]),NOT(CagrTable[[#This Row],[Plug Type]] = "MC"),CagrTable[[#This Row],[Position]]&lt;&gt;"DIV")</f>
        <v>0</v>
      </c>
      <c r="BC52" s="193">
        <f>IF(AND(CagrTable[[#This Row],[Visible]], CagrTable[[#This Row],[Plug Type]] = "MC"), CagrTable[[#This Row],[Basis]], 0)</f>
        <v>0</v>
      </c>
      <c r="BD52" s="182">
        <f>IF(CagrTable[[#This Row],[Is PLUG]], 0, CagrTable[[#This Row],[Proceeds]] - CagrTable[[#This Row],[Basis]])</f>
        <v>10.600000000000009</v>
      </c>
      <c r="BE52" s="180">
        <f>IF(AND(OR(CagrTable[[#This Row],[Is Short Call]],CagrTable[[#This Row],[Is Short Put]])), CagrTable[[#This Row],[Proceeds]], 0)</f>
        <v>86.65</v>
      </c>
      <c r="BF52" s="180">
        <f>IF(AND(OR(CagrTable[[#This Row],[Is Short Call]],CagrTable[[#This Row],[Is Short Put]])), CagrTable[[#This Row],[Basis]], 0)</f>
        <v>76.05</v>
      </c>
      <c r="BG52" s="173">
        <f>IF(CagrTable[[#This Row],[Covered Short Share Equivalent]] &gt; 0,-1 * CagrTable[[#This Row],[Premium Input]] / CagrTable[[#This Row],[Covered Short Share Equivalent]], 0)</f>
        <v>-0.43325000000000002</v>
      </c>
      <c r="BH52" s="173">
        <f>IF(CagrTable[[#This Row],[Covered Short Share Equivalent]] &gt; 0, CagrTable[[#This Row],[Premium Offset Input]] / CagrTable[[#This Row],[Covered Short Share Equivalent]], 0)</f>
        <v>0.38024999999999998</v>
      </c>
      <c r="BI52" s="173">
        <f>SUM(CagrTable[[#This Row],[Premium ACB]:[Premium Offset ACB]])</f>
        <v>-5.3000000000000047E-2</v>
      </c>
      <c r="BJ52" s="173">
        <f>IF(CagrTable[[#This Row],[Is Naked Short]],-1 * CagrTable[[#This Row],[Strike Price]] - (CagrTable[[#This Row],[Proceeds]] / CagrTable[[#This Row],[Naked Short Share Equivalent]]), 0)</f>
        <v>0</v>
      </c>
      <c r="BK52" s="173">
        <f>IF(CagrTable[[#This Row],[Is Short Put]], CagrTable[[#This Row],[Strike Price]] + CagrTable[[#This Row],[Net Short Premium ACB]], 0)</f>
        <v>0</v>
      </c>
      <c r="BL52" s="173">
        <f>IF(AND(CagrTable[[#This Row],[Is Long Call]], NOT(CagrTable[[#This Row],[Is PLUG]])), -1 * CagrTable[[#This Row],[P&amp;L]]/(CagrTable[[#This Row],[Qty]] * 100), 0)</f>
        <v>0</v>
      </c>
      <c r="BM52" s="173">
        <f>IF(AND(NOT(CagrTable[[#This Row],[Is Option]]), NOT(CagrTable[[#This Row],[Is PLUG]]), OR(CagrTable[[#This Row],[Is Open]], CagrTable[[#This Row],[Is DIV]]), N(CagrTable[[#This Row],[Qty]])&lt;&gt;0), -CagrTable[[#This Row],[P&amp;L]]/CagrTable[[#This Row],[Qty]], 0)</f>
        <v>0</v>
      </c>
      <c r="BN52" s="173" t="b">
        <f>AND(_Total_ACB_Shares&lt;&gt;0, NOT(CagrTable[[#This Row],[Is PLUG]]))</f>
        <v>0</v>
      </c>
      <c r="BO52" s="173">
        <f>IF(OR(_Total_ACB_Shares=0, CagrTable[[#This Row],[Is PLUG]]), 0, (CagrTable[[#This Row],[ACB]] * CagrTable[[#This Row],[Qty]] * IF(CagrTable[[#This Row],[Is Option]], 100, 1))/ _Total_ACB_Shares)</f>
        <v>0</v>
      </c>
      <c r="BP52" s="184">
        <f t="shared" si="3"/>
        <v>1</v>
      </c>
      <c r="BQ52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-5.3000000000000047E-2</v>
      </c>
      <c r="BR52" s="174">
        <f>CagrTable[[#This Row],[Prelim Weighted ACB]] * CagrTable[[#This Row],[ACB Sign]]</f>
        <v>0</v>
      </c>
      <c r="BS52" s="62">
        <f>CagrTable[[#This Row],[Proceeds]] - CagrTable[[#This Row],[Basis]]</f>
        <v>10.600000000000009</v>
      </c>
      <c r="BT52" s="91" t="s">
        <v>80</v>
      </c>
      <c r="BU52" s="63" t="s">
        <v>74</v>
      </c>
      <c r="BV52" s="63" t="s">
        <v>71</v>
      </c>
      <c r="BW52" s="63" t="s">
        <v>87</v>
      </c>
      <c r="BX52" s="27"/>
      <c r="BY52" s="58">
        <v>13.2</v>
      </c>
      <c r="BZ52" s="58">
        <v>0.44</v>
      </c>
      <c r="CA52" s="100">
        <v>46083.463263888887</v>
      </c>
      <c r="CB52" s="58">
        <v>0</v>
      </c>
      <c r="CC52" s="58">
        <v>0</v>
      </c>
      <c r="CD52" s="65">
        <v>-1</v>
      </c>
      <c r="CE52" s="83"/>
      <c r="CF52" s="66" t="s">
        <v>73</v>
      </c>
      <c r="CG52" s="58"/>
      <c r="CH52" s="66" t="s">
        <v>293</v>
      </c>
      <c r="CI52" s="66"/>
      <c r="CJ52" s="66"/>
      <c r="CK52" s="58">
        <v>12.95</v>
      </c>
      <c r="CL52" s="58">
        <v>0.38</v>
      </c>
      <c r="CM52" s="64">
        <v>46083.413460648146</v>
      </c>
      <c r="CN52" s="58">
        <v>0</v>
      </c>
      <c r="CO52" s="58">
        <v>0</v>
      </c>
      <c r="CP52" s="67">
        <v>-1</v>
      </c>
      <c r="CQ52" s="82"/>
      <c r="CR52" s="58" t="s">
        <v>73</v>
      </c>
      <c r="CS52" s="58"/>
      <c r="CT52" s="66" t="s">
        <v>292</v>
      </c>
      <c r="CU52" s="73"/>
      <c r="CV52" s="181" t="s">
        <v>290</v>
      </c>
      <c r="DC52" s="19"/>
      <c r="DL52" s="13"/>
    </row>
    <row r="53" spans="1:116" ht="12.75" hidden="1" customHeight="1">
      <c r="A53" s="69" t="s">
        <v>173</v>
      </c>
      <c r="B53" s="189" t="s">
        <v>67</v>
      </c>
      <c r="C53" s="88">
        <v>8</v>
      </c>
      <c r="D53" s="70">
        <v>2</v>
      </c>
      <c r="E53" s="1" t="str">
        <f>CONCATENATE(CagrTable[[#This Row],[Symbol]], CagrTable[[#This Row],[ID]])</f>
        <v>SMR2</v>
      </c>
      <c r="F53" s="55" t="s">
        <v>61</v>
      </c>
      <c r="G53" s="56">
        <v>46101.729166666664</v>
      </c>
      <c r="H53" s="58">
        <v>0</v>
      </c>
      <c r="I53" s="57">
        <f>IF(ISNUMBER(CagrTable[[#This Row],[Qty]]),CagrTable[[#This Row],[Basis]] /CagrTable[[#This Row],[Qty]], "")</f>
        <v>0</v>
      </c>
      <c r="J53" s="56">
        <v>46083.463263888887</v>
      </c>
      <c r="K53" s="58">
        <v>346.63</v>
      </c>
      <c r="L53" s="78">
        <f>IF(ISNUMBER(CagrTable[[#This Row],[Qty]]),CagrTable[[#This Row],[Proceeds]] / CagrTable[[#This Row],[Qty]], "")</f>
        <v>43.328749999999999</v>
      </c>
      <c r="M53" s="77">
        <f>IF(CagrTable[[#This Row],[Is Open]], CagrTable[[#This Row],[Date Opened]], CagrTable[[#This Row],[Date Closed]])</f>
        <v>46101.729166666664</v>
      </c>
      <c r="N53" s="101"/>
      <c r="O53"/>
      <c r="P53" s="177"/>
      <c r="Q53" s="176"/>
      <c r="R53" s="71">
        <f>IF(CagrTable[[#This Row],[Sell Date]]=CagrTable[[#This Row],[Acquire Date]], 1, ABS(CagrTable[[#This Row],[Sell Date]] - CagrTable[[#This Row],[Acquire Date]]))</f>
        <v>18.265902777777228</v>
      </c>
      <c r="S53" s="72">
        <f>CagrTable[[#This Row],[Days Held]] / 30</f>
        <v>0.60886342592590759</v>
      </c>
      <c r="T53" s="178">
        <v>5.37</v>
      </c>
      <c r="U53" s="179"/>
      <c r="V53" s="158">
        <v>46101.729166666664</v>
      </c>
      <c r="W53" s="60">
        <v>16</v>
      </c>
      <c r="X53" s="75" t="s">
        <v>68</v>
      </c>
      <c r="Y53" s="61" t="s">
        <v>288</v>
      </c>
      <c r="Z53" s="85" t="str">
        <f>IF(OR(CagrTable[[#This Row],[Is Closed]]="", CagrTable[[#This Row],[Is Closed]]="H"),"Y","")</f>
        <v/>
      </c>
      <c r="AA53" s="85" t="str">
        <f>IF(OR(CagrTable[[#This Row],[Position]]="LNG",CagrTable[[#This Row],[Position]]="SHRT"),"Equity","Option")</f>
        <v>Option</v>
      </c>
      <c r="AB53" s="84" t="str">
        <f>IF(CagrTable[[#This Row],[Pricing Update Included]]="Y",IF(CagrTable[[#This Row],[Pricing Update Asset]]="Equity",CagrTable[[#This Row],[Symbol]],CagrTable[[#This Row],[Option Symbol]]),"")</f>
        <v/>
      </c>
      <c r="AC53" s="80">
        <f>SUBTOTAL(103,CagrTable[[#This Row],[Symbol]])</f>
        <v>0</v>
      </c>
      <c r="AD53" s="80" t="b">
        <f>LEFT(CagrTable[[#This Row],[Position]],1)="L"</f>
        <v>0</v>
      </c>
      <c r="AE53" s="80" t="b">
        <f>LEFT(CagrTable[[#This Row],[Position]],1)="S"</f>
        <v>1</v>
      </c>
      <c r="AF53" s="80" t="b">
        <f>(CagrTable[[#This Row],[Position]] = "DIV")</f>
        <v>0</v>
      </c>
      <c r="AG53" s="80" t="b">
        <f>CagrTable[[#This Row],[Position]] = "PLUG"</f>
        <v>0</v>
      </c>
      <c r="AH53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0</v>
      </c>
      <c r="AI53" s="80" t="b">
        <f>CagrTable[[#This Row],[Is Closed]] &lt;&gt; "Y"</f>
        <v>0</v>
      </c>
      <c r="AJ53" s="84" t="b">
        <f>OR(CagrTable[[#This Row],[Option Type]]&lt;&gt;"",
  CagrTable[[#This Row],[Position]]="LC", CagrTable[[#This Row],[Position]]="SC",
  CagrTable[[#This Row],[Position]]="LP",CagrTable[[#This Row],[Position]]="SP"
)</f>
        <v>1</v>
      </c>
      <c r="AK53" s="84" t="b">
        <f>AND(CagrTable[[#This Row],[Option Type]] = "C", CagrTable[[#This Row],[Is Short]])</f>
        <v>1</v>
      </c>
      <c r="AL53" s="84" t="b">
        <f>AND(CagrTable[[#This Row],[Is Short Call]],CagrTable[[#This Row],[Is Naked Call]] = TRUE)</f>
        <v>0</v>
      </c>
      <c r="AM53" s="84" t="b">
        <f>AND(CagrTable[[#This Row],[Option Type]] = "P", CagrTable[[#This Row],[Is Short]])</f>
        <v>0</v>
      </c>
      <c r="AN53" s="84" t="b">
        <f>CagrTable[[#This Row],[Position]]= "LC"</f>
        <v>0</v>
      </c>
      <c r="AO53" s="169">
        <f>IF(AND(CagrTable[[#This Row],[Is Long]], NOT(CagrTable[[#This Row],[Position]]="LP")), CagrTable[[#This Row],[Qty]] * IF(CagrTable[[#This Row],[Is Option]], 100, 1), 0)</f>
        <v>0</v>
      </c>
      <c r="AP53" s="169">
        <f>IF(CagrTable[[#This Row],[Is Naked Short]], CagrTable[[#This Row],[Qty]] * -100, 0)</f>
        <v>0</v>
      </c>
      <c r="AQ53" s="169">
        <f>IF(CagrTable[[#This Row],[Is ACB Put]], CagrTable[[#This Row],[Qty]] * -100, 0)</f>
        <v>0</v>
      </c>
      <c r="AR53" s="169">
        <f>IF(AND(CagrTable[[#This Row],[Is Short]], NOT(CagrTable[[#This Row],[Is Naked Short]])), CagrTable[[#This Row],[Qty]] * IF(CagrTable[[#This Row],[Is Option]], 100, 1), 0)</f>
        <v>800</v>
      </c>
      <c r="AS53" s="169">
        <f>SUM(CagrTable[[#This Row],[Long Share Equivalent]:[Covered Short Share Equivalent]])</f>
        <v>800</v>
      </c>
      <c r="AT53" s="169">
        <f>IF(CagrTable[[#This Row],[Is Open]], SUM(CagrTable[[#This Row],[Long Share Equivalent]:[ACB Put Share Equivalent]]), 0)</f>
        <v>0</v>
      </c>
      <c r="AU53" s="166">
        <f>IF(OR(CagrTable[[#This Row],[Is Long]], CagrTable[[#This Row],[Is DIV]]), CagrTable[[#This Row],[Acquire Date]], CagrTable[[#This Row],[Sell Date]])</f>
        <v>46083.463263888887</v>
      </c>
      <c r="AV53" s="166" t="str">
        <f>IF(NOT(CagrTable[[#This Row],[Is Option]]), IF(OR(CagrTable[[#This Row],[Is Long]], CagrTable[[#This Row],[Is DIV]]), CagrTable[[#This Row],[Sell Date]], CagrTable[[#This Row],[Acquire Date]]), "")</f>
        <v/>
      </c>
      <c r="AW53" s="166" t="str">
        <f>IF(AND(CagrTable[[#This Row],[Is Option]], CagrTable[[#This Row],[Is Open]]), IF(CagrTable[[#This Row],[Is Long Call]], CagrTable[[#This Row],[Exp Date]], MIN(MockToday, CagrTable[[#This Row],[Exp Date]])), "")</f>
        <v/>
      </c>
      <c r="AX53" s="166">
        <f>IF(AND(CagrTable[[#This Row],[Is Option]], NOT(CagrTable[[#This Row],[Is Open]])), IF(CagrTable[[#This Row],[Is Long]], CagrTable[[#This Row],[Sell Date]], CagrTable[[#This Row],[Acquire Date]]), "")</f>
        <v>46101.729166666664</v>
      </c>
      <c r="AY53" s="166" cm="1">
        <f t="array" ref="AY53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46101.729166666664</v>
      </c>
      <c r="AZ53" s="80" t="b">
        <f>IF(AND(CagrTable[[#This Row],[Visible]], CagrTable[[#This Row],[Is Open]]), OR(CagrTable[[#This Row],[Is Long]], AND(CagrTable[[#This Row],[Is Short]], CagrTable[[#This Row],[Is Naked Call]])), FALSE)</f>
        <v>0</v>
      </c>
      <c r="BA53" s="80" t="b">
        <f>AND(CagrTable[[#This Row],[Visible]], OR(NOT(CagrTable[[#This Row],[Is PLUG]]), CagrTable[[#This Row],[Plug Type]] = "MTM"))</f>
        <v>0</v>
      </c>
      <c r="BB53" s="80" t="b">
        <f>AND(CagrTable[[#This Row],[Visible]],NOT(CagrTable[[#This Row],[Is Open]]),NOT(CagrTable[[#This Row],[Plug Type]] = "MC"),CagrTable[[#This Row],[Position]]&lt;&gt;"DIV")</f>
        <v>0</v>
      </c>
      <c r="BC53" s="193">
        <f>IF(AND(CagrTable[[#This Row],[Visible]], CagrTable[[#This Row],[Plug Type]] = "MC"), CagrTable[[#This Row],[Basis]], 0)</f>
        <v>0</v>
      </c>
      <c r="BD53" s="182">
        <f>IF(CagrTable[[#This Row],[Is PLUG]], 0, CagrTable[[#This Row],[Proceeds]] - CagrTable[[#This Row],[Basis]])</f>
        <v>346.63</v>
      </c>
      <c r="BE53" s="180">
        <f>IF(AND(OR(CagrTable[[#This Row],[Is Short Call]],CagrTable[[#This Row],[Is Short Put]])), CagrTable[[#This Row],[Proceeds]], 0)</f>
        <v>346.63</v>
      </c>
      <c r="BF53" s="180">
        <f>IF(AND(OR(CagrTable[[#This Row],[Is Short Call]],CagrTable[[#This Row],[Is Short Put]])), CagrTable[[#This Row],[Basis]], 0)</f>
        <v>0</v>
      </c>
      <c r="BG53" s="173">
        <f>IF(CagrTable[[#This Row],[Covered Short Share Equivalent]] &gt; 0,-1 * CagrTable[[#This Row],[Premium Input]] / CagrTable[[#This Row],[Covered Short Share Equivalent]], 0)</f>
        <v>-0.43328749999999999</v>
      </c>
      <c r="BH53" s="173">
        <f>IF(CagrTable[[#This Row],[Covered Short Share Equivalent]] &gt; 0, CagrTable[[#This Row],[Premium Offset Input]] / CagrTable[[#This Row],[Covered Short Share Equivalent]], 0)</f>
        <v>0</v>
      </c>
      <c r="BI53" s="173">
        <f>SUM(CagrTable[[#This Row],[Premium ACB]:[Premium Offset ACB]])</f>
        <v>-0.43328749999999999</v>
      </c>
      <c r="BJ53" s="173">
        <f>IF(CagrTable[[#This Row],[Is Naked Short]],-1 * CagrTable[[#This Row],[Strike Price]] - (CagrTable[[#This Row],[Proceeds]] / CagrTable[[#This Row],[Naked Short Share Equivalent]]), 0)</f>
        <v>0</v>
      </c>
      <c r="BK53" s="173">
        <f>IF(CagrTable[[#This Row],[Is Short Put]], CagrTable[[#This Row],[Strike Price]] + CagrTable[[#This Row],[Net Short Premium ACB]], 0)</f>
        <v>0</v>
      </c>
      <c r="BL53" s="173">
        <f>IF(AND(CagrTable[[#This Row],[Is Long Call]], NOT(CagrTable[[#This Row],[Is PLUG]])), -1 * CagrTable[[#This Row],[P&amp;L]]/(CagrTable[[#This Row],[Qty]] * 100), 0)</f>
        <v>0</v>
      </c>
      <c r="BM53" s="173">
        <f>IF(AND(NOT(CagrTable[[#This Row],[Is Option]]), NOT(CagrTable[[#This Row],[Is PLUG]]), OR(CagrTable[[#This Row],[Is Open]], CagrTable[[#This Row],[Is DIV]]), N(CagrTable[[#This Row],[Qty]])&lt;&gt;0), -CagrTable[[#This Row],[P&amp;L]]/CagrTable[[#This Row],[Qty]], 0)</f>
        <v>0</v>
      </c>
      <c r="BN53" s="173" t="b">
        <f>AND(_Total_ACB_Shares&lt;&gt;0, NOT(CagrTable[[#This Row],[Is PLUG]]))</f>
        <v>0</v>
      </c>
      <c r="BO53" s="173">
        <f>IF(OR(_Total_ACB_Shares=0, CagrTable[[#This Row],[Is PLUG]]), 0, (CagrTable[[#This Row],[ACB]] * CagrTable[[#This Row],[Qty]] * IF(CagrTable[[#This Row],[Is Option]], 100, 1))/ _Total_ACB_Shares)</f>
        <v>0</v>
      </c>
      <c r="BP53" s="184">
        <f t="shared" si="3"/>
        <v>1</v>
      </c>
      <c r="BQ53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-0.43328749999999999</v>
      </c>
      <c r="BR53" s="174">
        <f>CagrTable[[#This Row],[Prelim Weighted ACB]] * CagrTable[[#This Row],[ACB Sign]]</f>
        <v>0</v>
      </c>
      <c r="BS53" s="62">
        <f>CagrTable[[#This Row],[Proceeds]] - CagrTable[[#This Row],[Basis]]</f>
        <v>346.63</v>
      </c>
      <c r="BT53" s="91" t="s">
        <v>80</v>
      </c>
      <c r="BU53" s="63" t="s">
        <v>74</v>
      </c>
      <c r="BV53" s="63" t="s">
        <v>71</v>
      </c>
      <c r="BW53" s="63" t="s">
        <v>87</v>
      </c>
      <c r="BX53" s="27"/>
      <c r="BY53" s="58">
        <v>13.2</v>
      </c>
      <c r="BZ53" s="58">
        <v>0.44</v>
      </c>
      <c r="CA53" s="100">
        <v>46083.463263888887</v>
      </c>
      <c r="CB53" s="58">
        <v>0.46</v>
      </c>
      <c r="CC53" s="58">
        <v>0.28999999999999998</v>
      </c>
      <c r="CD53" s="65">
        <v>88</v>
      </c>
      <c r="CE53" s="83"/>
      <c r="CF53" s="66" t="s">
        <v>73</v>
      </c>
      <c r="CG53" s="58"/>
      <c r="CH53" s="66" t="s">
        <v>291</v>
      </c>
      <c r="CI53" s="66" t="s">
        <v>65</v>
      </c>
      <c r="CJ53" s="66"/>
      <c r="CK53" s="58">
        <v>11.29</v>
      </c>
      <c r="CL53" s="58">
        <v>0</v>
      </c>
      <c r="CM53" s="64">
        <v>46101.708333333336</v>
      </c>
      <c r="CN53" s="58">
        <v>0</v>
      </c>
      <c r="CO53" s="58">
        <v>0</v>
      </c>
      <c r="CP53" s="67">
        <v>0</v>
      </c>
      <c r="CQ53" s="82"/>
      <c r="CR53" s="58"/>
      <c r="CS53" s="58"/>
      <c r="CT53" s="66" t="s">
        <v>76</v>
      </c>
      <c r="CU53" s="73"/>
      <c r="CV53" s="181" t="s">
        <v>289</v>
      </c>
      <c r="DC53" s="19"/>
      <c r="DL53" s="13"/>
    </row>
    <row r="54" spans="1:116" ht="12.75" hidden="1" customHeight="1">
      <c r="A54" s="69" t="s">
        <v>173</v>
      </c>
      <c r="B54" s="189" t="s">
        <v>67</v>
      </c>
      <c r="C54" s="88">
        <v>8</v>
      </c>
      <c r="D54" s="70">
        <v>2</v>
      </c>
      <c r="E54" s="1" t="str">
        <f>CONCATENATE(CagrTable[[#This Row],[Symbol]], CagrTable[[#This Row],[ID]])</f>
        <v>SMR2</v>
      </c>
      <c r="F54" s="55"/>
      <c r="G54" s="56">
        <v>46136.729166666664</v>
      </c>
      <c r="H54" s="58">
        <v>280.18</v>
      </c>
      <c r="I54" s="57">
        <f>IF(ISNUMBER(CagrTable[[#This Row],[Qty]]),CagrTable[[#This Row],[Basis]] /CagrTable[[#This Row],[Qty]], "")</f>
        <v>35.022500000000001</v>
      </c>
      <c r="J54" s="56">
        <v>46129.415254629632</v>
      </c>
      <c r="K54" s="58">
        <v>106.62</v>
      </c>
      <c r="L54" s="78">
        <f>IF(ISNUMBER(CagrTable[[#This Row],[Qty]]),CagrTable[[#This Row],[Proceeds]] / CagrTable[[#This Row],[Qty]], "")</f>
        <v>13.327500000000001</v>
      </c>
      <c r="M54" s="77">
        <f>IF(CagrTable[[#This Row],[Is Open]], CagrTable[[#This Row],[Date Opened]], CagrTable[[#This Row],[Date Closed]])</f>
        <v>46129.415254629632</v>
      </c>
      <c r="N54" s="101"/>
      <c r="O54"/>
      <c r="P54" s="177"/>
      <c r="Q54" s="176"/>
      <c r="R54" s="71">
        <f>IF(CagrTable[[#This Row],[Sell Date]]=CagrTable[[#This Row],[Acquire Date]], 1, ABS(CagrTable[[#This Row],[Sell Date]] - CagrTable[[#This Row],[Acquire Date]]))</f>
        <v>7.3139120370324235</v>
      </c>
      <c r="S54" s="72">
        <f>CagrTable[[#This Row],[Days Held]] / 30</f>
        <v>0.24379706790108077</v>
      </c>
      <c r="T54" s="178">
        <v>5.38</v>
      </c>
      <c r="U54" s="179">
        <v>0.18</v>
      </c>
      <c r="V54" s="158">
        <v>46136.729166666664</v>
      </c>
      <c r="W54" s="60">
        <v>0.15</v>
      </c>
      <c r="X54" s="75" t="s">
        <v>68</v>
      </c>
      <c r="Y54" s="61" t="s">
        <v>306</v>
      </c>
      <c r="Z54" s="85" t="str">
        <f>IF(OR(CagrTable[[#This Row],[Is Closed]]="", CagrTable[[#This Row],[Is Closed]]="H"),"Y","")</f>
        <v>Y</v>
      </c>
      <c r="AA54" s="85" t="str">
        <f>IF(OR(CagrTable[[#This Row],[Position]]="LNG",CagrTable[[#This Row],[Position]]="SHRT"),"Equity","Option")</f>
        <v>Option</v>
      </c>
      <c r="AB54" s="84" t="str">
        <f>IF(CagrTable[[#This Row],[Pricing Update Included]]="Y",IF(CagrTable[[#This Row],[Pricing Update Asset]]="Equity",CagrTable[[#This Row],[Symbol]],CagrTable[[#This Row],[Option Symbol]]),"")</f>
        <v>SMR260424C00000150</v>
      </c>
      <c r="AC54" s="80">
        <f>SUBTOTAL(103,CagrTable[[#This Row],[Symbol]])</f>
        <v>0</v>
      </c>
      <c r="AD54" s="80" t="b">
        <f>LEFT(CagrTable[[#This Row],[Position]],1)="L"</f>
        <v>0</v>
      </c>
      <c r="AE54" s="80" t="b">
        <f>LEFT(CagrTable[[#This Row],[Position]],1)="S"</f>
        <v>1</v>
      </c>
      <c r="AF54" s="80" t="b">
        <f>(CagrTable[[#This Row],[Position]] = "DIV")</f>
        <v>0</v>
      </c>
      <c r="AG54" s="80" t="b">
        <f>CagrTable[[#This Row],[Position]] = "PLUG"</f>
        <v>0</v>
      </c>
      <c r="AH54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0</v>
      </c>
      <c r="AI54" s="80" t="b">
        <f>CagrTable[[#This Row],[Is Closed]] &lt;&gt; "Y"</f>
        <v>1</v>
      </c>
      <c r="AJ54" s="84" t="b">
        <f>OR(CagrTable[[#This Row],[Option Type]]&lt;&gt;"",
  CagrTable[[#This Row],[Position]]="LC", CagrTable[[#This Row],[Position]]="SC",
  CagrTable[[#This Row],[Position]]="LP",CagrTable[[#This Row],[Position]]="SP"
)</f>
        <v>1</v>
      </c>
      <c r="AK54" s="84" t="b">
        <f>AND(CagrTable[[#This Row],[Option Type]] = "C", CagrTable[[#This Row],[Is Short]])</f>
        <v>1</v>
      </c>
      <c r="AL54" s="84" t="b">
        <f>AND(CagrTable[[#This Row],[Is Short Call]],CagrTable[[#This Row],[Is Naked Call]] = TRUE)</f>
        <v>0</v>
      </c>
      <c r="AM54" s="84" t="b">
        <f>AND(CagrTable[[#This Row],[Option Type]] = "P", CagrTable[[#This Row],[Is Short]])</f>
        <v>0</v>
      </c>
      <c r="AN54" s="84" t="b">
        <f>CagrTable[[#This Row],[Position]]= "LC"</f>
        <v>0</v>
      </c>
      <c r="AO54" s="169">
        <f>IF(AND(CagrTable[[#This Row],[Is Long]], NOT(CagrTable[[#This Row],[Position]]="LP")), CagrTable[[#This Row],[Qty]] * IF(CagrTable[[#This Row],[Is Option]], 100, 1), 0)</f>
        <v>0</v>
      </c>
      <c r="AP54" s="169">
        <f>IF(CagrTable[[#This Row],[Is Naked Short]], CagrTable[[#This Row],[Qty]] * -100, 0)</f>
        <v>0</v>
      </c>
      <c r="AQ54" s="169">
        <f>IF(CagrTable[[#This Row],[Is ACB Put]], CagrTable[[#This Row],[Qty]] * -100, 0)</f>
        <v>0</v>
      </c>
      <c r="AR54" s="169">
        <f>IF(AND(CagrTable[[#This Row],[Is Short]], NOT(CagrTable[[#This Row],[Is Naked Short]])), CagrTable[[#This Row],[Qty]] * IF(CagrTable[[#This Row],[Is Option]], 100, 1), 0)</f>
        <v>800</v>
      </c>
      <c r="AS54" s="169">
        <f>SUM(CagrTable[[#This Row],[Long Share Equivalent]:[Covered Short Share Equivalent]])</f>
        <v>800</v>
      </c>
      <c r="AT54" s="169">
        <f>IF(CagrTable[[#This Row],[Is Open]], SUM(CagrTable[[#This Row],[Long Share Equivalent]:[ACB Put Share Equivalent]]), 0)</f>
        <v>0</v>
      </c>
      <c r="AU54" s="166">
        <f>IF(OR(CagrTable[[#This Row],[Is Long]], CagrTable[[#This Row],[Is DIV]]), CagrTable[[#This Row],[Acquire Date]], CagrTable[[#This Row],[Sell Date]])</f>
        <v>46129.415254629632</v>
      </c>
      <c r="AV54" s="166" t="str">
        <f>IF(NOT(CagrTable[[#This Row],[Is Option]]), IF(OR(CagrTable[[#This Row],[Is Long]], CagrTable[[#This Row],[Is DIV]]), CagrTable[[#This Row],[Sell Date]], CagrTable[[#This Row],[Acquire Date]]), "")</f>
        <v/>
      </c>
      <c r="AW54" s="166">
        <f ca="1">IF(AND(CagrTable[[#This Row],[Is Option]], CagrTable[[#This Row],[Is Open]]), IF(CagrTable[[#This Row],[Is Long Call]], CagrTable[[#This Row],[Exp Date]], MIN(MockToday, CagrTable[[#This Row],[Exp Date]])), "")</f>
        <v>46136.729166666664</v>
      </c>
      <c r="AX54" s="166" t="str">
        <f>IF(AND(CagrTable[[#This Row],[Is Option]], NOT(CagrTable[[#This Row],[Is Open]])), IF(CagrTable[[#This Row],[Is Long]], CagrTable[[#This Row],[Sell Date]], CagrTable[[#This Row],[Acquire Date]]), "")</f>
        <v/>
      </c>
      <c r="AY54" s="166" cm="1">
        <f t="array" aca="1" ref="AY54" ca="1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46136.729166666664</v>
      </c>
      <c r="AZ54" s="80" t="b">
        <f>IF(AND(CagrTable[[#This Row],[Visible]], CagrTable[[#This Row],[Is Open]]), OR(CagrTable[[#This Row],[Is Long]], AND(CagrTable[[#This Row],[Is Short]], CagrTable[[#This Row],[Is Naked Call]])), FALSE)</f>
        <v>0</v>
      </c>
      <c r="BA54" s="80" t="b">
        <f>AND(CagrTable[[#This Row],[Visible]], OR(NOT(CagrTable[[#This Row],[Is PLUG]]), CagrTable[[#This Row],[Plug Type]] = "MTM"))</f>
        <v>0</v>
      </c>
      <c r="BB54" s="80" t="b">
        <f>AND(CagrTable[[#This Row],[Visible]],NOT(CagrTable[[#This Row],[Is Open]]),NOT(CagrTable[[#This Row],[Plug Type]] = "MC"),CagrTable[[#This Row],[Position]]&lt;&gt;"DIV")</f>
        <v>0</v>
      </c>
      <c r="BC54" s="193">
        <f>IF(AND(CagrTable[[#This Row],[Visible]], CagrTable[[#This Row],[Plug Type]] = "MC"), CagrTable[[#This Row],[Basis]], 0)</f>
        <v>0</v>
      </c>
      <c r="BD54" s="182">
        <f>IF(CagrTable[[#This Row],[Is PLUG]], 0, CagrTable[[#This Row],[Proceeds]] - CagrTable[[#This Row],[Basis]])</f>
        <v>-173.56</v>
      </c>
      <c r="BE54" s="180">
        <f>IF(AND(OR(CagrTable[[#This Row],[Is Short Call]],CagrTable[[#This Row],[Is Short Put]])), CagrTable[[#This Row],[Proceeds]], 0)</f>
        <v>106.62</v>
      </c>
      <c r="BF54" s="180">
        <f>IF(AND(OR(CagrTable[[#This Row],[Is Short Call]],CagrTable[[#This Row],[Is Short Put]])), CagrTable[[#This Row],[Basis]], 0)</f>
        <v>280.18</v>
      </c>
      <c r="BG54" s="173">
        <f>IF(CagrTable[[#This Row],[Covered Short Share Equivalent]] &gt; 0,-1 * CagrTable[[#This Row],[Premium Input]] / CagrTable[[#This Row],[Covered Short Share Equivalent]], 0)</f>
        <v>-0.133275</v>
      </c>
      <c r="BH54" s="173">
        <f>IF(CagrTable[[#This Row],[Covered Short Share Equivalent]] &gt; 0, CagrTable[[#This Row],[Premium Offset Input]] / CagrTable[[#This Row],[Covered Short Share Equivalent]], 0)</f>
        <v>0.35022500000000001</v>
      </c>
      <c r="BI54" s="173">
        <f>SUM(CagrTable[[#This Row],[Premium ACB]:[Premium Offset ACB]])</f>
        <v>0.21695</v>
      </c>
      <c r="BJ54" s="173">
        <f>IF(CagrTable[[#This Row],[Is Naked Short]],-1 * CagrTable[[#This Row],[Strike Price]] - (CagrTable[[#This Row],[Proceeds]] / CagrTable[[#This Row],[Naked Short Share Equivalent]]), 0)</f>
        <v>0</v>
      </c>
      <c r="BK54" s="173">
        <f>IF(CagrTable[[#This Row],[Is Short Put]], CagrTable[[#This Row],[Strike Price]] + CagrTable[[#This Row],[Net Short Premium ACB]], 0)</f>
        <v>0</v>
      </c>
      <c r="BL54" s="173">
        <f>IF(AND(CagrTable[[#This Row],[Is Long Call]], NOT(CagrTable[[#This Row],[Is PLUG]])), -1 * CagrTable[[#This Row],[P&amp;L]]/(CagrTable[[#This Row],[Qty]] * 100), 0)</f>
        <v>0</v>
      </c>
      <c r="BM54" s="173">
        <f>IF(AND(NOT(CagrTable[[#This Row],[Is Option]]), NOT(CagrTable[[#This Row],[Is PLUG]]), OR(CagrTable[[#This Row],[Is Open]], CagrTable[[#This Row],[Is DIV]]), N(CagrTable[[#This Row],[Qty]])&lt;&gt;0), -CagrTable[[#This Row],[P&amp;L]]/CagrTable[[#This Row],[Qty]], 0)</f>
        <v>0</v>
      </c>
      <c r="BN54" s="173" t="b">
        <f>AND(_Total_ACB_Shares&lt;&gt;0, NOT(CagrTable[[#This Row],[Is PLUG]]))</f>
        <v>0</v>
      </c>
      <c r="BO54" s="173">
        <f>IF(OR(_Total_ACB_Shares=0, CagrTable[[#This Row],[Is PLUG]]), 0, (CagrTable[[#This Row],[ACB]] * CagrTable[[#This Row],[Qty]] * IF(CagrTable[[#This Row],[Is Option]], 100, 1))/ _Total_ACB_Shares)</f>
        <v>0</v>
      </c>
      <c r="BP54" s="184">
        <f t="shared" si="3"/>
        <v>1</v>
      </c>
      <c r="BQ54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0.21695</v>
      </c>
      <c r="BR54" s="174">
        <f>CagrTable[[#This Row],[Prelim Weighted ACB]] * CagrTable[[#This Row],[ACB Sign]]</f>
        <v>0</v>
      </c>
      <c r="BS54" s="62">
        <f>CagrTable[[#This Row],[Proceeds]] - CagrTable[[#This Row],[Basis]]</f>
        <v>-173.56</v>
      </c>
      <c r="BT54" s="91" t="s">
        <v>80</v>
      </c>
      <c r="BU54" s="63" t="s">
        <v>62</v>
      </c>
      <c r="BV54" s="63" t="s">
        <v>71</v>
      </c>
      <c r="BW54" s="63" t="s">
        <v>87</v>
      </c>
      <c r="BX54" s="27"/>
      <c r="BY54" s="58">
        <v>12.4</v>
      </c>
      <c r="BZ54" s="58">
        <v>0.14000000000000001</v>
      </c>
      <c r="CA54" s="100">
        <v>46129.415254629632</v>
      </c>
      <c r="CB54" s="58">
        <v>0</v>
      </c>
      <c r="CC54" s="58">
        <v>0</v>
      </c>
      <c r="CD54" s="65">
        <v>-1</v>
      </c>
      <c r="CE54" s="83"/>
      <c r="CF54" s="66" t="s">
        <v>73</v>
      </c>
      <c r="CG54" s="58"/>
      <c r="CH54" s="66" t="s">
        <v>308</v>
      </c>
      <c r="CI54" s="66" t="s">
        <v>275</v>
      </c>
      <c r="CJ54" s="66"/>
      <c r="CK54" s="58">
        <v>13.25</v>
      </c>
      <c r="CL54" s="58">
        <v>0.35</v>
      </c>
      <c r="CM54" s="64">
        <v>46136.729166666664</v>
      </c>
      <c r="CN54" s="58">
        <v>0</v>
      </c>
      <c r="CO54" s="58">
        <v>0</v>
      </c>
      <c r="CP54" s="67">
        <v>-1</v>
      </c>
      <c r="CQ54" s="82"/>
      <c r="CR54" s="58" t="s">
        <v>64</v>
      </c>
      <c r="CS54" s="58">
        <v>0.23</v>
      </c>
      <c r="CT54" s="66" t="s">
        <v>307</v>
      </c>
      <c r="CU54" s="73" t="s">
        <v>86</v>
      </c>
      <c r="CV54" s="181" t="s">
        <v>309</v>
      </c>
      <c r="DC54" s="19"/>
      <c r="DL54" s="13"/>
    </row>
    <row r="55" spans="1:116" ht="12.75" hidden="1" customHeight="1">
      <c r="A55" s="69" t="s">
        <v>173</v>
      </c>
      <c r="B55" s="189" t="s">
        <v>67</v>
      </c>
      <c r="C55" s="88">
        <v>8</v>
      </c>
      <c r="D55" s="70">
        <v>2</v>
      </c>
      <c r="E55" s="1" t="str">
        <f>CONCATENATE(CagrTable[[#This Row],[Symbol]], CagrTable[[#This Row],[ID]])</f>
        <v>SMR2</v>
      </c>
      <c r="F55" s="55" t="s">
        <v>61</v>
      </c>
      <c r="G55" s="56">
        <v>46140.520891203705</v>
      </c>
      <c r="H55" s="58">
        <v>16.18</v>
      </c>
      <c r="I55" s="57">
        <f>IF(ISNUMBER(CagrTable[[#This Row],[Qty]]),CagrTable[[#This Row],[Basis]] /CagrTable[[#This Row],[Qty]], "")</f>
        <v>2.0225</v>
      </c>
      <c r="J55" s="56">
        <v>46129.438113425924</v>
      </c>
      <c r="K55" s="58">
        <v>450.62</v>
      </c>
      <c r="L55" s="78">
        <f>IF(ISNUMBER(CagrTable[[#This Row],[Qty]]),CagrTable[[#This Row],[Proceeds]] / CagrTable[[#This Row],[Qty]], "")</f>
        <v>56.327500000000001</v>
      </c>
      <c r="M55" s="77">
        <f>IF(CagrTable[[#This Row],[Is Open]], CagrTable[[#This Row],[Date Opened]], CagrTable[[#This Row],[Date Closed]])</f>
        <v>46140.520891203705</v>
      </c>
      <c r="N55" s="101"/>
      <c r="O55"/>
      <c r="P55" s="177"/>
      <c r="Q55" s="176"/>
      <c r="R55" s="71">
        <f>IF(CagrTable[[#This Row],[Sell Date]]=CagrTable[[#This Row],[Acquire Date]], 1, ABS(CagrTable[[#This Row],[Sell Date]] - CagrTable[[#This Row],[Acquire Date]]))</f>
        <v>11.082777777781303</v>
      </c>
      <c r="S55" s="72">
        <f>CagrTable[[#This Row],[Days Held]] / 30</f>
        <v>0.3694259259260434</v>
      </c>
      <c r="T55" s="178">
        <v>5.38</v>
      </c>
      <c r="U55" s="179">
        <v>0.18</v>
      </c>
      <c r="V55" s="158">
        <v>46143.729166666664</v>
      </c>
      <c r="W55" s="60">
        <v>15</v>
      </c>
      <c r="X55" s="75" t="s">
        <v>68</v>
      </c>
      <c r="Y55" s="61" t="s">
        <v>310</v>
      </c>
      <c r="Z55" s="85" t="str">
        <f>IF(OR(CagrTable[[#This Row],[Is Closed]]="", CagrTable[[#This Row],[Is Closed]]="H"),"Y","")</f>
        <v/>
      </c>
      <c r="AA55" s="85" t="str">
        <f>IF(OR(CagrTable[[#This Row],[Position]]="LNG",CagrTable[[#This Row],[Position]]="SHRT"),"Equity","Option")</f>
        <v>Option</v>
      </c>
      <c r="AB55" s="84" t="str">
        <f>IF(CagrTable[[#This Row],[Pricing Update Included]]="Y",IF(CagrTable[[#This Row],[Pricing Update Asset]]="Equity",CagrTable[[#This Row],[Symbol]],CagrTable[[#This Row],[Option Symbol]]),"")</f>
        <v/>
      </c>
      <c r="AC55" s="80">
        <f>SUBTOTAL(103,CagrTable[[#This Row],[Symbol]])</f>
        <v>0</v>
      </c>
      <c r="AD55" s="80" t="b">
        <f>LEFT(CagrTable[[#This Row],[Position]],1)="L"</f>
        <v>0</v>
      </c>
      <c r="AE55" s="80" t="b">
        <f>LEFT(CagrTable[[#This Row],[Position]],1)="S"</f>
        <v>1</v>
      </c>
      <c r="AF55" s="80" t="b">
        <f>(CagrTable[[#This Row],[Position]] = "DIV")</f>
        <v>0</v>
      </c>
      <c r="AG55" s="80" t="b">
        <f>CagrTable[[#This Row],[Position]] = "PLUG"</f>
        <v>0</v>
      </c>
      <c r="AH55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0</v>
      </c>
      <c r="AI55" s="80" t="b">
        <f>CagrTable[[#This Row],[Is Closed]] &lt;&gt; "Y"</f>
        <v>0</v>
      </c>
      <c r="AJ55" s="84" t="b">
        <f>OR(CagrTable[[#This Row],[Option Type]]&lt;&gt;"",
  CagrTable[[#This Row],[Position]]="LC", CagrTable[[#This Row],[Position]]="SC",
  CagrTable[[#This Row],[Position]]="LP",CagrTable[[#This Row],[Position]]="SP"
)</f>
        <v>1</v>
      </c>
      <c r="AK55" s="84" t="b">
        <f>AND(CagrTable[[#This Row],[Option Type]] = "C", CagrTable[[#This Row],[Is Short]])</f>
        <v>1</v>
      </c>
      <c r="AL55" s="84" t="b">
        <f>AND(CagrTable[[#This Row],[Is Short Call]],CagrTable[[#This Row],[Is Naked Call]] = TRUE)</f>
        <v>0</v>
      </c>
      <c r="AM55" s="84" t="b">
        <f>AND(CagrTable[[#This Row],[Option Type]] = "P", CagrTable[[#This Row],[Is Short]])</f>
        <v>0</v>
      </c>
      <c r="AN55" s="84" t="b">
        <f>CagrTable[[#This Row],[Position]]= "LC"</f>
        <v>0</v>
      </c>
      <c r="AO55" s="169">
        <f>IF(AND(CagrTable[[#This Row],[Is Long]], NOT(CagrTable[[#This Row],[Position]]="LP")), CagrTable[[#This Row],[Qty]] * IF(CagrTable[[#This Row],[Is Option]], 100, 1), 0)</f>
        <v>0</v>
      </c>
      <c r="AP55" s="169">
        <f>IF(CagrTable[[#This Row],[Is Naked Short]], CagrTable[[#This Row],[Qty]] * -100, 0)</f>
        <v>0</v>
      </c>
      <c r="AQ55" s="169">
        <f>IF(CagrTable[[#This Row],[Is ACB Put]], CagrTable[[#This Row],[Qty]] * -100, 0)</f>
        <v>0</v>
      </c>
      <c r="AR55" s="169">
        <f>IF(AND(CagrTable[[#This Row],[Is Short]], NOT(CagrTable[[#This Row],[Is Naked Short]])), CagrTable[[#This Row],[Qty]] * IF(CagrTable[[#This Row],[Is Option]], 100, 1), 0)</f>
        <v>800</v>
      </c>
      <c r="AS55" s="169">
        <f>SUM(CagrTable[[#This Row],[Long Share Equivalent]:[Covered Short Share Equivalent]])</f>
        <v>800</v>
      </c>
      <c r="AT55" s="169">
        <f>IF(CagrTable[[#This Row],[Is Open]], SUM(CagrTable[[#This Row],[Long Share Equivalent]:[ACB Put Share Equivalent]]), 0)</f>
        <v>0</v>
      </c>
      <c r="AU55" s="166">
        <f>IF(OR(CagrTable[[#This Row],[Is Long]], CagrTable[[#This Row],[Is DIV]]), CagrTable[[#This Row],[Acquire Date]], CagrTable[[#This Row],[Sell Date]])</f>
        <v>46129.438113425924</v>
      </c>
      <c r="AV55" s="166" t="str">
        <f>IF(NOT(CagrTable[[#This Row],[Is Option]]), IF(OR(CagrTable[[#This Row],[Is Long]], CagrTable[[#This Row],[Is DIV]]), CagrTable[[#This Row],[Sell Date]], CagrTable[[#This Row],[Acquire Date]]), "")</f>
        <v/>
      </c>
      <c r="AW55" s="166" t="str">
        <f>IF(AND(CagrTable[[#This Row],[Is Option]], CagrTable[[#This Row],[Is Open]]), IF(CagrTable[[#This Row],[Is Long Call]], CagrTable[[#This Row],[Exp Date]], MIN(MockToday, CagrTable[[#This Row],[Exp Date]])), "")</f>
        <v/>
      </c>
      <c r="AX55" s="166">
        <f>IF(AND(CagrTable[[#This Row],[Is Option]], NOT(CagrTable[[#This Row],[Is Open]])), IF(CagrTable[[#This Row],[Is Long]], CagrTable[[#This Row],[Sell Date]], CagrTable[[#This Row],[Acquire Date]]), "")</f>
        <v>46140.520891203705</v>
      </c>
      <c r="AY55" s="166" cm="1">
        <f t="array" ref="AY55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46140.520891203705</v>
      </c>
      <c r="AZ55" s="80" t="b">
        <f>IF(AND(CagrTable[[#This Row],[Visible]], CagrTable[[#This Row],[Is Open]]), OR(CagrTable[[#This Row],[Is Long]], AND(CagrTable[[#This Row],[Is Short]], CagrTable[[#This Row],[Is Naked Call]])), FALSE)</f>
        <v>0</v>
      </c>
      <c r="BA55" s="80" t="b">
        <f>AND(CagrTable[[#This Row],[Visible]], OR(NOT(CagrTable[[#This Row],[Is PLUG]]), CagrTable[[#This Row],[Plug Type]] = "MTM"))</f>
        <v>0</v>
      </c>
      <c r="BB55" s="80" t="b">
        <f>AND(CagrTable[[#This Row],[Visible]],NOT(CagrTable[[#This Row],[Is Open]]),NOT(CagrTable[[#This Row],[Plug Type]] = "MC"),CagrTable[[#This Row],[Position]]&lt;&gt;"DIV")</f>
        <v>0</v>
      </c>
      <c r="BC55" s="193">
        <f>IF(AND(CagrTable[[#This Row],[Visible]], CagrTable[[#This Row],[Plug Type]] = "MC"), CagrTable[[#This Row],[Basis]], 0)</f>
        <v>0</v>
      </c>
      <c r="BD55" s="182">
        <f>IF(CagrTable[[#This Row],[Is PLUG]], 0, CagrTable[[#This Row],[Proceeds]] - CagrTable[[#This Row],[Basis]])</f>
        <v>434.44</v>
      </c>
      <c r="BE55" s="180">
        <f>IF(AND(OR(CagrTable[[#This Row],[Is Short Call]],CagrTable[[#This Row],[Is Short Put]])), CagrTable[[#This Row],[Proceeds]], 0)</f>
        <v>450.62</v>
      </c>
      <c r="BF55" s="180">
        <f>IF(AND(OR(CagrTable[[#This Row],[Is Short Call]],CagrTable[[#This Row],[Is Short Put]])), CagrTable[[#This Row],[Basis]], 0)</f>
        <v>16.18</v>
      </c>
      <c r="BG55" s="173">
        <f>IF(CagrTable[[#This Row],[Covered Short Share Equivalent]] &gt; 0,-1 * CagrTable[[#This Row],[Premium Input]] / CagrTable[[#This Row],[Covered Short Share Equivalent]], 0)</f>
        <v>-0.56327499999999997</v>
      </c>
      <c r="BH55" s="173">
        <f>IF(CagrTable[[#This Row],[Covered Short Share Equivalent]] &gt; 0, CagrTable[[#This Row],[Premium Offset Input]] / CagrTable[[#This Row],[Covered Short Share Equivalent]], 0)</f>
        <v>2.0225E-2</v>
      </c>
      <c r="BI55" s="173">
        <f>SUM(CagrTable[[#This Row],[Premium ACB]:[Premium Offset ACB]])</f>
        <v>-0.54304999999999992</v>
      </c>
      <c r="BJ55" s="173">
        <f>IF(CagrTable[[#This Row],[Is Naked Short]],-1 * CagrTable[[#This Row],[Strike Price]] - (CagrTable[[#This Row],[Proceeds]] / CagrTable[[#This Row],[Naked Short Share Equivalent]]), 0)</f>
        <v>0</v>
      </c>
      <c r="BK55" s="173">
        <f>IF(CagrTable[[#This Row],[Is Short Put]], CagrTable[[#This Row],[Strike Price]] + CagrTable[[#This Row],[Net Short Premium ACB]], 0)</f>
        <v>0</v>
      </c>
      <c r="BL55" s="173">
        <f>IF(AND(CagrTable[[#This Row],[Is Long Call]], NOT(CagrTable[[#This Row],[Is PLUG]])), -1 * CagrTable[[#This Row],[P&amp;L]]/(CagrTable[[#This Row],[Qty]] * 100), 0)</f>
        <v>0</v>
      </c>
      <c r="BM55" s="173">
        <f>IF(AND(NOT(CagrTable[[#This Row],[Is Option]]), NOT(CagrTable[[#This Row],[Is PLUG]]), OR(CagrTable[[#This Row],[Is Open]], CagrTable[[#This Row],[Is DIV]]), N(CagrTable[[#This Row],[Qty]])&lt;&gt;0), -CagrTable[[#This Row],[P&amp;L]]/CagrTable[[#This Row],[Qty]], 0)</f>
        <v>0</v>
      </c>
      <c r="BN55" s="173" t="b">
        <f>AND(_Total_ACB_Shares&lt;&gt;0, NOT(CagrTable[[#This Row],[Is PLUG]]))</f>
        <v>0</v>
      </c>
      <c r="BO55" s="173">
        <f>IF(OR(_Total_ACB_Shares=0, CagrTable[[#This Row],[Is PLUG]]), 0, (CagrTable[[#This Row],[ACB]] * CagrTable[[#This Row],[Qty]] * IF(CagrTable[[#This Row],[Is Option]], 100, 1))/ _Total_ACB_Shares)</f>
        <v>0</v>
      </c>
      <c r="BP55" s="184">
        <f t="shared" si="3"/>
        <v>1</v>
      </c>
      <c r="BQ55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-0.54304999999999992</v>
      </c>
      <c r="BR55" s="174">
        <f>CagrTable[[#This Row],[Prelim Weighted ACB]] * CagrTable[[#This Row],[ACB Sign]]</f>
        <v>0</v>
      </c>
      <c r="BS55" s="62">
        <f>CagrTable[[#This Row],[Proceeds]] - CagrTable[[#This Row],[Basis]]</f>
        <v>434.44</v>
      </c>
      <c r="BT55" s="91" t="s">
        <v>80</v>
      </c>
      <c r="BU55" s="63" t="s">
        <v>62</v>
      </c>
      <c r="BV55" s="63" t="s">
        <v>71</v>
      </c>
      <c r="BW55" s="63" t="s">
        <v>87</v>
      </c>
      <c r="BX55" s="27"/>
      <c r="BY55" s="58">
        <v>13.25</v>
      </c>
      <c r="BZ55" s="58">
        <v>0.56999999999999995</v>
      </c>
      <c r="CA55" s="100">
        <v>46129.438113425924</v>
      </c>
      <c r="CB55" s="58">
        <v>0</v>
      </c>
      <c r="CC55" s="58">
        <v>0</v>
      </c>
      <c r="CD55" s="65">
        <v>-1</v>
      </c>
      <c r="CE55" s="83"/>
      <c r="CF55" s="66" t="s">
        <v>64</v>
      </c>
      <c r="CG55" s="58">
        <v>0.23</v>
      </c>
      <c r="CH55" s="66" t="s">
        <v>311</v>
      </c>
      <c r="CI55" s="66" t="s">
        <v>69</v>
      </c>
      <c r="CJ55" s="66"/>
      <c r="CK55" s="58">
        <v>11.7</v>
      </c>
      <c r="CL55" s="58">
        <v>0.02</v>
      </c>
      <c r="CM55" s="64">
        <v>46140.520891203705</v>
      </c>
      <c r="CN55" s="58">
        <v>0.08</v>
      </c>
      <c r="CO55" s="58">
        <v>0.02</v>
      </c>
      <c r="CP55" s="67">
        <v>100</v>
      </c>
      <c r="CQ55" s="82"/>
      <c r="CR55" s="58" t="s">
        <v>73</v>
      </c>
      <c r="CS55" s="58"/>
      <c r="CT55" s="66" t="s">
        <v>321</v>
      </c>
      <c r="CU55" s="73"/>
      <c r="CV55" s="181" t="s">
        <v>312</v>
      </c>
      <c r="DC55" s="19"/>
      <c r="DL55" s="13"/>
    </row>
    <row r="56" spans="1:116" ht="12.75" hidden="1" customHeight="1">
      <c r="A56" s="69" t="s">
        <v>173</v>
      </c>
      <c r="B56" s="189" t="s">
        <v>67</v>
      </c>
      <c r="C56" s="88">
        <v>8</v>
      </c>
      <c r="D56" s="70">
        <v>2</v>
      </c>
      <c r="E56" s="1" t="str">
        <f>CONCATENATE(CagrTable[[#This Row],[Symbol]], CagrTable[[#This Row],[ID]])</f>
        <v>SMR2</v>
      </c>
      <c r="F56" s="55" t="s">
        <v>61</v>
      </c>
      <c r="G56" s="56">
        <v>46157.729166666664</v>
      </c>
      <c r="H56" s="58">
        <v>0</v>
      </c>
      <c r="I56" s="57">
        <f>IF(ISNUMBER(CagrTable[[#This Row],[Qty]]),CagrTable[[#This Row],[Basis]] /CagrTable[[#This Row],[Qty]], "")</f>
        <v>0</v>
      </c>
      <c r="J56" s="56">
        <v>46153.42392361111</v>
      </c>
      <c r="K56" s="58">
        <v>330.62</v>
      </c>
      <c r="L56" s="78">
        <f>IF(ISNUMBER(CagrTable[[#This Row],[Qty]]),CagrTable[[#This Row],[Proceeds]] / CagrTable[[#This Row],[Qty]], "")</f>
        <v>41.327500000000001</v>
      </c>
      <c r="M56" s="77">
        <f>IF(CagrTable[[#This Row],[Is Open]], CagrTable[[#This Row],[Date Opened]], CagrTable[[#This Row],[Date Closed]])</f>
        <v>46157.729166666664</v>
      </c>
      <c r="N56" s="101"/>
      <c r="O56"/>
      <c r="P56" s="177"/>
      <c r="Q56" s="176"/>
      <c r="R56" s="71">
        <f>IF(CagrTable[[#This Row],[Sell Date]]=CagrTable[[#This Row],[Acquire Date]], 1, ABS(CagrTable[[#This Row],[Sell Date]] - CagrTable[[#This Row],[Acquire Date]]))</f>
        <v>4.3052430555544561</v>
      </c>
      <c r="S56" s="72">
        <f>CagrTable[[#This Row],[Days Held]] / 30</f>
        <v>0.1435081018518152</v>
      </c>
      <c r="T56" s="178">
        <v>5.38</v>
      </c>
      <c r="U56" s="179"/>
      <c r="V56" s="158">
        <v>46157.729166666664</v>
      </c>
      <c r="W56" s="60">
        <v>14</v>
      </c>
      <c r="X56" s="75" t="s">
        <v>68</v>
      </c>
      <c r="Y56" s="61" t="s">
        <v>325</v>
      </c>
      <c r="Z56" s="85" t="str">
        <f>IF(OR(CagrTable[[#This Row],[Is Closed]]="", CagrTable[[#This Row],[Is Closed]]="H"),"Y","")</f>
        <v/>
      </c>
      <c r="AA56" s="85" t="str">
        <f>IF(OR(CagrTable[[#This Row],[Position]]="LNG",CagrTable[[#This Row],[Position]]="SHRT"),"Equity","Option")</f>
        <v>Option</v>
      </c>
      <c r="AB56" s="84" t="str">
        <f>IF(CagrTable[[#This Row],[Pricing Update Included]]="Y",IF(CagrTable[[#This Row],[Pricing Update Asset]]="Equity",CagrTable[[#This Row],[Symbol]],CagrTable[[#This Row],[Option Symbol]]),"")</f>
        <v/>
      </c>
      <c r="AC56" s="80">
        <f>SUBTOTAL(103,CagrTable[[#This Row],[Symbol]])</f>
        <v>0</v>
      </c>
      <c r="AD56" s="80" t="b">
        <f>LEFT(CagrTable[[#This Row],[Position]],1)="L"</f>
        <v>0</v>
      </c>
      <c r="AE56" s="80" t="b">
        <f>LEFT(CagrTable[[#This Row],[Position]],1)="S"</f>
        <v>1</v>
      </c>
      <c r="AF56" s="80" t="b">
        <f>(CagrTable[[#This Row],[Position]] = "DIV")</f>
        <v>0</v>
      </c>
      <c r="AG56" s="80" t="b">
        <f>CagrTable[[#This Row],[Position]] = "PLUG"</f>
        <v>0</v>
      </c>
      <c r="AH56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0</v>
      </c>
      <c r="AI56" s="80" t="b">
        <f>CagrTable[[#This Row],[Is Closed]] &lt;&gt; "Y"</f>
        <v>0</v>
      </c>
      <c r="AJ56" s="84" t="b">
        <f>OR(CagrTable[[#This Row],[Option Type]]&lt;&gt;"",
  CagrTable[[#This Row],[Position]]="LC", CagrTable[[#This Row],[Position]]="SC",
  CagrTable[[#This Row],[Position]]="LP",CagrTable[[#This Row],[Position]]="SP"
)</f>
        <v>1</v>
      </c>
      <c r="AK56" s="84" t="b">
        <f>AND(CagrTable[[#This Row],[Option Type]] = "C", CagrTable[[#This Row],[Is Short]])</f>
        <v>1</v>
      </c>
      <c r="AL56" s="84" t="b">
        <f>AND(CagrTable[[#This Row],[Is Short Call]],CagrTable[[#This Row],[Is Naked Call]] = TRUE)</f>
        <v>0</v>
      </c>
      <c r="AM56" s="84" t="b">
        <f>AND(CagrTable[[#This Row],[Option Type]] = "P", CagrTable[[#This Row],[Is Short]])</f>
        <v>0</v>
      </c>
      <c r="AN56" s="84" t="b">
        <f>CagrTable[[#This Row],[Position]]= "LC"</f>
        <v>0</v>
      </c>
      <c r="AO56" s="169">
        <f>IF(AND(CagrTable[[#This Row],[Is Long]], NOT(CagrTable[[#This Row],[Position]]="LP")), CagrTable[[#This Row],[Qty]] * IF(CagrTable[[#This Row],[Is Option]], 100, 1), 0)</f>
        <v>0</v>
      </c>
      <c r="AP56" s="169">
        <f>IF(CagrTable[[#This Row],[Is Naked Short]], CagrTable[[#This Row],[Qty]] * -100, 0)</f>
        <v>0</v>
      </c>
      <c r="AQ56" s="169">
        <f>IF(CagrTable[[#This Row],[Is ACB Put]], CagrTable[[#This Row],[Qty]] * -100, 0)</f>
        <v>0</v>
      </c>
      <c r="AR56" s="169">
        <f>IF(AND(CagrTable[[#This Row],[Is Short]], NOT(CagrTable[[#This Row],[Is Naked Short]])), CagrTable[[#This Row],[Qty]] * IF(CagrTable[[#This Row],[Is Option]], 100, 1), 0)</f>
        <v>800</v>
      </c>
      <c r="AS56" s="169">
        <f>SUM(CagrTable[[#This Row],[Long Share Equivalent]:[Covered Short Share Equivalent]])</f>
        <v>800</v>
      </c>
      <c r="AT56" s="169">
        <f>IF(CagrTable[[#This Row],[Is Open]], SUM(CagrTable[[#This Row],[Long Share Equivalent]:[ACB Put Share Equivalent]]), 0)</f>
        <v>0</v>
      </c>
      <c r="AU56" s="166">
        <f>IF(OR(CagrTable[[#This Row],[Is Long]], CagrTable[[#This Row],[Is DIV]]), CagrTable[[#This Row],[Acquire Date]], CagrTable[[#This Row],[Sell Date]])</f>
        <v>46153.42392361111</v>
      </c>
      <c r="AV56" s="166" t="str">
        <f>IF(NOT(CagrTable[[#This Row],[Is Option]]), IF(OR(CagrTable[[#This Row],[Is Long]], CagrTable[[#This Row],[Is DIV]]), CagrTable[[#This Row],[Sell Date]], CagrTable[[#This Row],[Acquire Date]]), "")</f>
        <v/>
      </c>
      <c r="AW56" s="166" t="str">
        <f>IF(AND(CagrTable[[#This Row],[Is Option]], CagrTable[[#This Row],[Is Open]]), IF(CagrTable[[#This Row],[Is Long Call]], CagrTable[[#This Row],[Exp Date]], MIN(MockToday, CagrTable[[#This Row],[Exp Date]])), "")</f>
        <v/>
      </c>
      <c r="AX56" s="166">
        <f>IF(AND(CagrTable[[#This Row],[Is Option]], NOT(CagrTable[[#This Row],[Is Open]])), IF(CagrTable[[#This Row],[Is Long]], CagrTable[[#This Row],[Sell Date]], CagrTable[[#This Row],[Acquire Date]]), "")</f>
        <v>46157.729166666664</v>
      </c>
      <c r="AY56" s="166" cm="1">
        <f t="array" ref="AY56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46157.729166666664</v>
      </c>
      <c r="AZ56" s="80" t="b">
        <f>IF(AND(CagrTable[[#This Row],[Visible]], CagrTable[[#This Row],[Is Open]]), OR(CagrTable[[#This Row],[Is Long]], AND(CagrTable[[#This Row],[Is Short]], CagrTable[[#This Row],[Is Naked Call]])), FALSE)</f>
        <v>0</v>
      </c>
      <c r="BA56" s="80" t="b">
        <f>AND(CagrTable[[#This Row],[Visible]], OR(NOT(CagrTable[[#This Row],[Is PLUG]]), CagrTable[[#This Row],[Plug Type]] = "MTM"))</f>
        <v>0</v>
      </c>
      <c r="BB56" s="80" t="b">
        <f>AND(CagrTable[[#This Row],[Visible]],NOT(CagrTable[[#This Row],[Is Open]]),NOT(CagrTable[[#This Row],[Plug Type]] = "MC"),CagrTable[[#This Row],[Position]]&lt;&gt;"DIV")</f>
        <v>0</v>
      </c>
      <c r="BC56" s="193">
        <f>IF(AND(CagrTable[[#This Row],[Visible]], CagrTable[[#This Row],[Plug Type]] = "MC"), CagrTable[[#This Row],[Basis]], 0)</f>
        <v>0</v>
      </c>
      <c r="BD56" s="182">
        <f>IF(CagrTable[[#This Row],[Is PLUG]], 0, CagrTable[[#This Row],[Proceeds]] - CagrTable[[#This Row],[Basis]])</f>
        <v>330.62</v>
      </c>
      <c r="BE56" s="180">
        <f>IF(AND(OR(CagrTable[[#This Row],[Is Short Call]],CagrTable[[#This Row],[Is Short Put]])), CagrTable[[#This Row],[Proceeds]], 0)</f>
        <v>330.62</v>
      </c>
      <c r="BF56" s="180">
        <f>IF(AND(OR(CagrTable[[#This Row],[Is Short Call]],CagrTable[[#This Row],[Is Short Put]])), CagrTable[[#This Row],[Basis]], 0)</f>
        <v>0</v>
      </c>
      <c r="BG56" s="173">
        <f>IF(CagrTable[[#This Row],[Covered Short Share Equivalent]] &gt; 0,-1 * CagrTable[[#This Row],[Premium Input]] / CagrTable[[#This Row],[Covered Short Share Equivalent]], 0)</f>
        <v>-0.413275</v>
      </c>
      <c r="BH56" s="173">
        <f>IF(CagrTable[[#This Row],[Covered Short Share Equivalent]] &gt; 0, CagrTable[[#This Row],[Premium Offset Input]] / CagrTable[[#This Row],[Covered Short Share Equivalent]], 0)</f>
        <v>0</v>
      </c>
      <c r="BI56" s="173">
        <f>SUM(CagrTable[[#This Row],[Premium ACB]:[Premium Offset ACB]])</f>
        <v>-0.413275</v>
      </c>
      <c r="BJ56" s="173">
        <f>IF(CagrTable[[#This Row],[Is Naked Short]],-1 * CagrTable[[#This Row],[Strike Price]] - (CagrTable[[#This Row],[Proceeds]] / CagrTable[[#This Row],[Naked Short Share Equivalent]]), 0)</f>
        <v>0</v>
      </c>
      <c r="BK56" s="173">
        <f>IF(CagrTable[[#This Row],[Is Short Put]], CagrTable[[#This Row],[Strike Price]] + CagrTable[[#This Row],[Net Short Premium ACB]], 0)</f>
        <v>0</v>
      </c>
      <c r="BL56" s="173">
        <f>IF(AND(CagrTable[[#This Row],[Is Long Call]], NOT(CagrTable[[#This Row],[Is PLUG]])), -1 * CagrTable[[#This Row],[P&amp;L]]/(CagrTable[[#This Row],[Qty]] * 100), 0)</f>
        <v>0</v>
      </c>
      <c r="BM56" s="173">
        <f>IF(AND(NOT(CagrTable[[#This Row],[Is Option]]), NOT(CagrTable[[#This Row],[Is PLUG]]), OR(CagrTable[[#This Row],[Is Open]], CagrTable[[#This Row],[Is DIV]]), N(CagrTable[[#This Row],[Qty]])&lt;&gt;0), -CagrTable[[#This Row],[P&amp;L]]/CagrTable[[#This Row],[Qty]], 0)</f>
        <v>0</v>
      </c>
      <c r="BN56" s="173" t="b">
        <f>AND(_Total_ACB_Shares&lt;&gt;0, NOT(CagrTable[[#This Row],[Is PLUG]]))</f>
        <v>0</v>
      </c>
      <c r="BO56" s="173">
        <f>IF(OR(_Total_ACB_Shares=0, CagrTable[[#This Row],[Is PLUG]]), 0, (CagrTable[[#This Row],[ACB]] * CagrTable[[#This Row],[Qty]] * IF(CagrTable[[#This Row],[Is Option]], 100, 1))/ _Total_ACB_Shares)</f>
        <v>0</v>
      </c>
      <c r="BP56" s="184">
        <f t="shared" si="3"/>
        <v>1</v>
      </c>
      <c r="BQ56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-0.413275</v>
      </c>
      <c r="BR56" s="174">
        <f>CagrTable[[#This Row],[Prelim Weighted ACB]] * CagrTable[[#This Row],[ACB Sign]]</f>
        <v>0</v>
      </c>
      <c r="BS56" s="62">
        <f>CagrTable[[#This Row],[Proceeds]] - CagrTable[[#This Row],[Basis]]</f>
        <v>330.62</v>
      </c>
      <c r="BT56" s="91" t="s">
        <v>70</v>
      </c>
      <c r="BU56" s="63" t="s">
        <v>62</v>
      </c>
      <c r="BV56" s="63" t="s">
        <v>71</v>
      </c>
      <c r="BW56" s="63" t="s">
        <v>87</v>
      </c>
      <c r="BX56" s="27"/>
      <c r="BY56" s="58">
        <v>13.4</v>
      </c>
      <c r="BZ56" s="58">
        <v>0.42</v>
      </c>
      <c r="CA56" s="100">
        <v>46153.42392361111</v>
      </c>
      <c r="CB56" s="58">
        <v>0.62</v>
      </c>
      <c r="CC56" s="58">
        <v>0.13</v>
      </c>
      <c r="CD56" s="65">
        <v>59</v>
      </c>
      <c r="CE56" s="83"/>
      <c r="CF56" s="66" t="s">
        <v>73</v>
      </c>
      <c r="CG56" s="58"/>
      <c r="CH56" s="66" t="s">
        <v>326</v>
      </c>
      <c r="CI56" s="66" t="s">
        <v>65</v>
      </c>
      <c r="CJ56" s="66"/>
      <c r="CK56" s="58">
        <v>11.23</v>
      </c>
      <c r="CL56" s="58">
        <v>0</v>
      </c>
      <c r="CM56" s="64">
        <v>46157.708333333336</v>
      </c>
      <c r="CN56" s="58">
        <v>0</v>
      </c>
      <c r="CO56" s="58">
        <v>0</v>
      </c>
      <c r="CP56" s="67">
        <v>0</v>
      </c>
      <c r="CQ56" s="82"/>
      <c r="CR56" s="58"/>
      <c r="CS56" s="58"/>
      <c r="CT56" s="66" t="s">
        <v>76</v>
      </c>
      <c r="CU56" s="73"/>
      <c r="CV56" s="181" t="s">
        <v>327</v>
      </c>
      <c r="DC56" s="19"/>
      <c r="DL56" s="13"/>
    </row>
    <row r="57" spans="1:116" ht="12.75" hidden="1" customHeight="1">
      <c r="A57" s="69" t="s">
        <v>173</v>
      </c>
      <c r="B57" s="189" t="s">
        <v>67</v>
      </c>
      <c r="C57" s="88">
        <v>8</v>
      </c>
      <c r="D57" s="70">
        <v>2</v>
      </c>
      <c r="E57" s="1" t="str">
        <f>CONCATENATE(CagrTable[[#This Row],[Symbol]], CagrTable[[#This Row],[ID]])</f>
        <v>SMR2</v>
      </c>
      <c r="F57" s="55" t="s">
        <v>61</v>
      </c>
      <c r="G57" s="56">
        <v>46171.729166666664</v>
      </c>
      <c r="H57" s="58">
        <v>0</v>
      </c>
      <c r="I57" s="57">
        <f>IF(ISNUMBER(CagrTable[[#This Row],[Qty]]),CagrTable[[#This Row],[Basis]] /CagrTable[[#This Row],[Qty]], "")</f>
        <v>0</v>
      </c>
      <c r="J57" s="56">
        <v>46168.404178240744</v>
      </c>
      <c r="K57" s="58">
        <v>154.62</v>
      </c>
      <c r="L57" s="78">
        <f>IF(ISNUMBER(CagrTable[[#This Row],[Qty]]),CagrTable[[#This Row],[Proceeds]] / CagrTable[[#This Row],[Qty]], "")</f>
        <v>19.327500000000001</v>
      </c>
      <c r="M57" s="77">
        <f>IF(CagrTable[[#This Row],[Is Open]], CagrTable[[#This Row],[Date Opened]], CagrTable[[#This Row],[Date Closed]])</f>
        <v>46171.729166666664</v>
      </c>
      <c r="N57" s="101"/>
      <c r="O57"/>
      <c r="P57" s="177"/>
      <c r="Q57" s="176"/>
      <c r="R57" s="71">
        <f>IF(CagrTable[[#This Row],[Sell Date]]=CagrTable[[#This Row],[Acquire Date]], 1, ABS(CagrTable[[#This Row],[Sell Date]] - CagrTable[[#This Row],[Acquire Date]]))</f>
        <v>3.32498842592031</v>
      </c>
      <c r="S57" s="72">
        <f>CagrTable[[#This Row],[Days Held]] / 30</f>
        <v>0.110832947530677</v>
      </c>
      <c r="T57" s="178">
        <v>5.38</v>
      </c>
      <c r="U57" s="179"/>
      <c r="V57" s="158">
        <v>46171.729166666664</v>
      </c>
      <c r="W57" s="60">
        <v>14</v>
      </c>
      <c r="X57" s="75" t="s">
        <v>68</v>
      </c>
      <c r="Y57" s="61" t="s">
        <v>331</v>
      </c>
      <c r="Z57" s="85" t="str">
        <f>IF(OR(CagrTable[[#This Row],[Is Closed]]="", CagrTable[[#This Row],[Is Closed]]="H"),"Y","")</f>
        <v/>
      </c>
      <c r="AA57" s="85" t="str">
        <f>IF(OR(CagrTable[[#This Row],[Position]]="LNG",CagrTable[[#This Row],[Position]]="SHRT"),"Equity","Option")</f>
        <v>Option</v>
      </c>
      <c r="AB57" s="84" t="str">
        <f>IF(CagrTable[[#This Row],[Pricing Update Included]]="Y",IF(CagrTable[[#This Row],[Pricing Update Asset]]="Equity",CagrTable[[#This Row],[Symbol]],CagrTable[[#This Row],[Option Symbol]]),"")</f>
        <v/>
      </c>
      <c r="AC57" s="80">
        <f>SUBTOTAL(103,CagrTable[[#This Row],[Symbol]])</f>
        <v>0</v>
      </c>
      <c r="AD57" s="80" t="b">
        <f>LEFT(CagrTable[[#This Row],[Position]],1)="L"</f>
        <v>0</v>
      </c>
      <c r="AE57" s="80" t="b">
        <f>LEFT(CagrTable[[#This Row],[Position]],1)="S"</f>
        <v>1</v>
      </c>
      <c r="AF57" s="80" t="b">
        <f>(CagrTable[[#This Row],[Position]] = "DIV")</f>
        <v>0</v>
      </c>
      <c r="AG57" s="80" t="b">
        <f>CagrTable[[#This Row],[Position]] = "PLUG"</f>
        <v>0</v>
      </c>
      <c r="AH57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0</v>
      </c>
      <c r="AI57" s="80" t="b">
        <f>CagrTable[[#This Row],[Is Closed]] &lt;&gt; "Y"</f>
        <v>0</v>
      </c>
      <c r="AJ57" s="84" t="b">
        <f>OR(CagrTable[[#This Row],[Option Type]]&lt;&gt;"",
  CagrTable[[#This Row],[Position]]="LC", CagrTable[[#This Row],[Position]]="SC",
  CagrTable[[#This Row],[Position]]="LP",CagrTable[[#This Row],[Position]]="SP"
)</f>
        <v>1</v>
      </c>
      <c r="AK57" s="84" t="b">
        <f>AND(CagrTable[[#This Row],[Option Type]] = "C", CagrTable[[#This Row],[Is Short]])</f>
        <v>1</v>
      </c>
      <c r="AL57" s="84" t="b">
        <f>AND(CagrTable[[#This Row],[Is Short Call]],CagrTable[[#This Row],[Is Naked Call]] = TRUE)</f>
        <v>0</v>
      </c>
      <c r="AM57" s="84" t="b">
        <f>AND(CagrTable[[#This Row],[Option Type]] = "P", CagrTable[[#This Row],[Is Short]])</f>
        <v>0</v>
      </c>
      <c r="AN57" s="84" t="b">
        <f>CagrTable[[#This Row],[Position]]= "LC"</f>
        <v>0</v>
      </c>
      <c r="AO57" s="169">
        <f>IF(AND(CagrTable[[#This Row],[Is Long]], NOT(CagrTable[[#This Row],[Position]]="LP")), CagrTable[[#This Row],[Qty]] * IF(CagrTable[[#This Row],[Is Option]], 100, 1), 0)</f>
        <v>0</v>
      </c>
      <c r="AP57" s="169">
        <f>IF(CagrTable[[#This Row],[Is Naked Short]], CagrTable[[#This Row],[Qty]] * -100, 0)</f>
        <v>0</v>
      </c>
      <c r="AQ57" s="169">
        <f>IF(CagrTable[[#This Row],[Is ACB Put]], CagrTable[[#This Row],[Qty]] * -100, 0)</f>
        <v>0</v>
      </c>
      <c r="AR57" s="169">
        <f>IF(AND(CagrTable[[#This Row],[Is Short]], NOT(CagrTable[[#This Row],[Is Naked Short]])), CagrTable[[#This Row],[Qty]] * IF(CagrTable[[#This Row],[Is Option]], 100, 1), 0)</f>
        <v>800</v>
      </c>
      <c r="AS57" s="169">
        <f>SUM(CagrTable[[#This Row],[Long Share Equivalent]:[Covered Short Share Equivalent]])</f>
        <v>800</v>
      </c>
      <c r="AT57" s="169">
        <f>IF(CagrTable[[#This Row],[Is Open]], SUM(CagrTable[[#This Row],[Long Share Equivalent]:[ACB Put Share Equivalent]]), 0)</f>
        <v>0</v>
      </c>
      <c r="AU57" s="166">
        <f>IF(OR(CagrTable[[#This Row],[Is Long]], CagrTable[[#This Row],[Is DIV]]), CagrTable[[#This Row],[Acquire Date]], CagrTable[[#This Row],[Sell Date]])</f>
        <v>46168.404178240744</v>
      </c>
      <c r="AV57" s="166" t="str">
        <f>IF(NOT(CagrTable[[#This Row],[Is Option]]), IF(OR(CagrTable[[#This Row],[Is Long]], CagrTable[[#This Row],[Is DIV]]), CagrTable[[#This Row],[Sell Date]], CagrTable[[#This Row],[Acquire Date]]), "")</f>
        <v/>
      </c>
      <c r="AW57" s="166" t="str">
        <f>IF(AND(CagrTable[[#This Row],[Is Option]], CagrTable[[#This Row],[Is Open]]), IF(CagrTable[[#This Row],[Is Long Call]], CagrTable[[#This Row],[Exp Date]], MIN(MockToday, CagrTable[[#This Row],[Exp Date]])), "")</f>
        <v/>
      </c>
      <c r="AX57" s="166">
        <f>IF(AND(CagrTable[[#This Row],[Is Option]], NOT(CagrTable[[#This Row],[Is Open]])), IF(CagrTable[[#This Row],[Is Long]], CagrTable[[#This Row],[Sell Date]], CagrTable[[#This Row],[Acquire Date]]), "")</f>
        <v>46171.729166666664</v>
      </c>
      <c r="AY57" s="166" cm="1">
        <f t="array" ref="AY57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46171.729166666664</v>
      </c>
      <c r="AZ57" s="80" t="b">
        <f>IF(AND(CagrTable[[#This Row],[Visible]], CagrTable[[#This Row],[Is Open]]), OR(CagrTable[[#This Row],[Is Long]], AND(CagrTable[[#This Row],[Is Short]], CagrTable[[#This Row],[Is Naked Call]])), FALSE)</f>
        <v>0</v>
      </c>
      <c r="BA57" s="80" t="b">
        <f>AND(CagrTable[[#This Row],[Visible]], OR(NOT(CagrTable[[#This Row],[Is PLUG]]), CagrTable[[#This Row],[Plug Type]] = "MTM"))</f>
        <v>0</v>
      </c>
      <c r="BB57" s="80" t="b">
        <f>AND(CagrTable[[#This Row],[Visible]],NOT(CagrTable[[#This Row],[Is Open]]),NOT(CagrTable[[#This Row],[Plug Type]] = "MC"),CagrTable[[#This Row],[Position]]&lt;&gt;"DIV")</f>
        <v>0</v>
      </c>
      <c r="BC57" s="193">
        <f>IF(AND(CagrTable[[#This Row],[Visible]], CagrTable[[#This Row],[Plug Type]] = "MC"), CagrTable[[#This Row],[Basis]], 0)</f>
        <v>0</v>
      </c>
      <c r="BD57" s="182">
        <f>IF(CagrTable[[#This Row],[Is PLUG]], 0, CagrTable[[#This Row],[Proceeds]] - CagrTable[[#This Row],[Basis]])</f>
        <v>154.62</v>
      </c>
      <c r="BE57" s="180">
        <f>IF(AND(OR(CagrTable[[#This Row],[Is Short Call]],CagrTable[[#This Row],[Is Short Put]])), CagrTable[[#This Row],[Proceeds]], 0)</f>
        <v>154.62</v>
      </c>
      <c r="BF57" s="180">
        <f>IF(AND(OR(CagrTable[[#This Row],[Is Short Call]],CagrTable[[#This Row],[Is Short Put]])), CagrTable[[#This Row],[Basis]], 0)</f>
        <v>0</v>
      </c>
      <c r="BG57" s="173">
        <f>IF(CagrTable[[#This Row],[Covered Short Share Equivalent]] &gt; 0,-1 * CagrTable[[#This Row],[Premium Input]] / CagrTable[[#This Row],[Covered Short Share Equivalent]], 0)</f>
        <v>-0.193275</v>
      </c>
      <c r="BH57" s="173">
        <f>IF(CagrTable[[#This Row],[Covered Short Share Equivalent]] &gt; 0, CagrTable[[#This Row],[Premium Offset Input]] / CagrTable[[#This Row],[Covered Short Share Equivalent]], 0)</f>
        <v>0</v>
      </c>
      <c r="BI57" s="173">
        <f>SUM(CagrTable[[#This Row],[Premium ACB]:[Premium Offset ACB]])</f>
        <v>-0.193275</v>
      </c>
      <c r="BJ57" s="173">
        <f>IF(CagrTable[[#This Row],[Is Naked Short]],-1 * CagrTable[[#This Row],[Strike Price]] - (CagrTable[[#This Row],[Proceeds]] / CagrTable[[#This Row],[Naked Short Share Equivalent]]), 0)</f>
        <v>0</v>
      </c>
      <c r="BK57" s="173">
        <f>IF(CagrTable[[#This Row],[Is Short Put]], CagrTable[[#This Row],[Strike Price]] + CagrTable[[#This Row],[Net Short Premium ACB]], 0)</f>
        <v>0</v>
      </c>
      <c r="BL57" s="173">
        <f>IF(AND(CagrTable[[#This Row],[Is Long Call]], NOT(CagrTable[[#This Row],[Is PLUG]])), -1 * CagrTable[[#This Row],[P&amp;L]]/(CagrTable[[#This Row],[Qty]] * 100), 0)</f>
        <v>0</v>
      </c>
      <c r="BM57" s="173">
        <f>IF(AND(NOT(CagrTable[[#This Row],[Is Option]]), NOT(CagrTable[[#This Row],[Is PLUG]]), OR(CagrTable[[#This Row],[Is Open]], CagrTable[[#This Row],[Is DIV]]), N(CagrTable[[#This Row],[Qty]])&lt;&gt;0), -CagrTable[[#This Row],[P&amp;L]]/CagrTable[[#This Row],[Qty]], 0)</f>
        <v>0</v>
      </c>
      <c r="BN57" s="173" t="b">
        <f>AND(_Total_ACB_Shares&lt;&gt;0, NOT(CagrTable[[#This Row],[Is PLUG]]))</f>
        <v>0</v>
      </c>
      <c r="BO57" s="173">
        <f>IF(OR(_Total_ACB_Shares=0, CagrTable[[#This Row],[Is PLUG]]), 0, (CagrTable[[#This Row],[ACB]] * CagrTable[[#This Row],[Qty]] * IF(CagrTable[[#This Row],[Is Option]], 100, 1))/ _Total_ACB_Shares)</f>
        <v>0</v>
      </c>
      <c r="BP57" s="184">
        <f t="shared" si="3"/>
        <v>1</v>
      </c>
      <c r="BQ57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-0.193275</v>
      </c>
      <c r="BR57" s="174">
        <f>CagrTable[[#This Row],[Prelim Weighted ACB]] * CagrTable[[#This Row],[ACB Sign]]</f>
        <v>0</v>
      </c>
      <c r="BS57" s="62">
        <f>CagrTable[[#This Row],[Proceeds]] - CagrTable[[#This Row],[Basis]]</f>
        <v>154.62</v>
      </c>
      <c r="BT57" s="91" t="s">
        <v>70</v>
      </c>
      <c r="BU57" s="63" t="s">
        <v>62</v>
      </c>
      <c r="BV57" s="63" t="s">
        <v>71</v>
      </c>
      <c r="BW57" s="63" t="s">
        <v>87</v>
      </c>
      <c r="BX57" s="27"/>
      <c r="BY57" s="58">
        <v>12.4</v>
      </c>
      <c r="BZ57" s="58">
        <v>0.2</v>
      </c>
      <c r="CA57" s="100">
        <v>46168.404178240744</v>
      </c>
      <c r="CB57" s="58">
        <v>0.24</v>
      </c>
      <c r="CC57" s="58">
        <v>7.0000000000000007E-2</v>
      </c>
      <c r="CD57" s="65">
        <v>76</v>
      </c>
      <c r="CE57" s="83"/>
      <c r="CF57" s="66" t="s">
        <v>73</v>
      </c>
      <c r="CG57" s="58"/>
      <c r="CH57" s="66" t="s">
        <v>332</v>
      </c>
      <c r="CI57" s="66" t="s">
        <v>65</v>
      </c>
      <c r="CJ57" s="66"/>
      <c r="CK57" s="58">
        <v>12.67</v>
      </c>
      <c r="CL57" s="58">
        <v>0</v>
      </c>
      <c r="CM57" s="64">
        <v>46171.708333333336</v>
      </c>
      <c r="CN57" s="58">
        <v>0</v>
      </c>
      <c r="CO57" s="58">
        <v>0</v>
      </c>
      <c r="CP57" s="67">
        <v>0</v>
      </c>
      <c r="CQ57" s="82"/>
      <c r="CR57" s="58"/>
      <c r="CS57" s="58"/>
      <c r="CT57" s="66" t="s">
        <v>76</v>
      </c>
      <c r="CU57" s="73"/>
      <c r="CV57" s="181" t="s">
        <v>333</v>
      </c>
      <c r="DC57" s="19"/>
      <c r="DL57" s="13"/>
    </row>
    <row r="58" spans="1:116" ht="12.75" hidden="1" customHeight="1">
      <c r="A58" s="69" t="s">
        <v>173</v>
      </c>
      <c r="B58" s="189" t="s">
        <v>67</v>
      </c>
      <c r="C58" s="88">
        <v>8</v>
      </c>
      <c r="D58" s="70">
        <v>2</v>
      </c>
      <c r="E58" s="1" t="str">
        <f>CONCATENATE(CagrTable[[#This Row],[Symbol]], CagrTable[[#This Row],[ID]])</f>
        <v>SMR2</v>
      </c>
      <c r="F58" s="55" t="s">
        <v>61</v>
      </c>
      <c r="G58" s="56">
        <v>46178.729166666664</v>
      </c>
      <c r="H58" s="58">
        <v>0</v>
      </c>
      <c r="I58" s="57">
        <f>IF(ISNUMBER(CagrTable[[#This Row],[Qty]]),CagrTable[[#This Row],[Basis]] /CagrTable[[#This Row],[Qty]], "")</f>
        <v>0</v>
      </c>
      <c r="J58" s="56">
        <v>46174.634513888886</v>
      </c>
      <c r="K58" s="58">
        <v>178.62</v>
      </c>
      <c r="L58" s="78">
        <f>IF(ISNUMBER(CagrTable[[#This Row],[Qty]]),CagrTable[[#This Row],[Proceeds]] / CagrTable[[#This Row],[Qty]], "")</f>
        <v>22.327500000000001</v>
      </c>
      <c r="M58" s="77">
        <f>IF(CagrTable[[#This Row],[Is Open]], CagrTable[[#This Row],[Date Opened]], CagrTable[[#This Row],[Date Closed]])</f>
        <v>46178.729166666664</v>
      </c>
      <c r="N58" s="101"/>
      <c r="O58"/>
      <c r="P58" s="177"/>
      <c r="Q58" s="176"/>
      <c r="R58" s="71">
        <f>IF(CagrTable[[#This Row],[Sell Date]]=CagrTable[[#This Row],[Acquire Date]], 1, ABS(CagrTable[[#This Row],[Sell Date]] - CagrTable[[#This Row],[Acquire Date]]))</f>
        <v>4.0946527777778101</v>
      </c>
      <c r="S58" s="72">
        <f>CagrTable[[#This Row],[Days Held]] / 30</f>
        <v>0.136488425925927</v>
      </c>
      <c r="T58" s="178">
        <v>5.38</v>
      </c>
      <c r="U58" s="179"/>
      <c r="V58" s="158">
        <v>46178.729166666664</v>
      </c>
      <c r="W58" s="60">
        <v>15</v>
      </c>
      <c r="X58" s="75" t="s">
        <v>68</v>
      </c>
      <c r="Y58" s="61" t="s">
        <v>340</v>
      </c>
      <c r="Z58" s="85" t="str">
        <f>IF(OR(CagrTable[[#This Row],[Is Closed]]="", CagrTable[[#This Row],[Is Closed]]="H"),"Y","")</f>
        <v/>
      </c>
      <c r="AA58" s="85" t="str">
        <f>IF(OR(CagrTable[[#This Row],[Position]]="LNG",CagrTable[[#This Row],[Position]]="SHRT"),"Equity","Option")</f>
        <v>Option</v>
      </c>
      <c r="AB58" s="84" t="str">
        <f>IF(CagrTable[[#This Row],[Pricing Update Included]]="Y",IF(CagrTable[[#This Row],[Pricing Update Asset]]="Equity",CagrTable[[#This Row],[Symbol]],CagrTable[[#This Row],[Option Symbol]]),"")</f>
        <v/>
      </c>
      <c r="AC58" s="80">
        <f>SUBTOTAL(103,CagrTable[[#This Row],[Symbol]])</f>
        <v>0</v>
      </c>
      <c r="AD58" s="80" t="b">
        <f>LEFT(CagrTable[[#This Row],[Position]],1)="L"</f>
        <v>0</v>
      </c>
      <c r="AE58" s="80" t="b">
        <f>LEFT(CagrTable[[#This Row],[Position]],1)="S"</f>
        <v>1</v>
      </c>
      <c r="AF58" s="80" t="b">
        <f>(CagrTable[[#This Row],[Position]] = "DIV")</f>
        <v>0</v>
      </c>
      <c r="AG58" s="80" t="b">
        <f>CagrTable[[#This Row],[Position]] = "PLUG"</f>
        <v>0</v>
      </c>
      <c r="AH58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0</v>
      </c>
      <c r="AI58" s="80" t="b">
        <f>CagrTable[[#This Row],[Is Closed]] &lt;&gt; "Y"</f>
        <v>0</v>
      </c>
      <c r="AJ58" s="84" t="b">
        <f>OR(CagrTable[[#This Row],[Option Type]]&lt;&gt;"",
  CagrTable[[#This Row],[Position]]="LC", CagrTable[[#This Row],[Position]]="SC",
  CagrTable[[#This Row],[Position]]="LP",CagrTable[[#This Row],[Position]]="SP"
)</f>
        <v>1</v>
      </c>
      <c r="AK58" s="84" t="b">
        <f>AND(CagrTable[[#This Row],[Option Type]] = "C", CagrTable[[#This Row],[Is Short]])</f>
        <v>1</v>
      </c>
      <c r="AL58" s="84" t="b">
        <f>AND(CagrTable[[#This Row],[Is Short Call]],CagrTable[[#This Row],[Is Naked Call]] = TRUE)</f>
        <v>0</v>
      </c>
      <c r="AM58" s="84" t="b">
        <f>AND(CagrTable[[#This Row],[Option Type]] = "P", CagrTable[[#This Row],[Is Short]])</f>
        <v>0</v>
      </c>
      <c r="AN58" s="84" t="b">
        <f>CagrTable[[#This Row],[Position]]= "LC"</f>
        <v>0</v>
      </c>
      <c r="AO58" s="169">
        <f>IF(AND(CagrTable[[#This Row],[Is Long]], NOT(CagrTable[[#This Row],[Position]]="LP")), CagrTable[[#This Row],[Qty]] * IF(CagrTable[[#This Row],[Is Option]], 100, 1), 0)</f>
        <v>0</v>
      </c>
      <c r="AP58" s="169">
        <f>IF(CagrTable[[#This Row],[Is Naked Short]], CagrTable[[#This Row],[Qty]] * -100, 0)</f>
        <v>0</v>
      </c>
      <c r="AQ58" s="169">
        <f>IF(CagrTable[[#This Row],[Is ACB Put]], CagrTable[[#This Row],[Qty]] * -100, 0)</f>
        <v>0</v>
      </c>
      <c r="AR58" s="169">
        <f>IF(AND(CagrTable[[#This Row],[Is Short]], NOT(CagrTable[[#This Row],[Is Naked Short]])), CagrTable[[#This Row],[Qty]] * IF(CagrTable[[#This Row],[Is Option]], 100, 1), 0)</f>
        <v>800</v>
      </c>
      <c r="AS58" s="169">
        <f>SUM(CagrTable[[#This Row],[Long Share Equivalent]:[Covered Short Share Equivalent]])</f>
        <v>800</v>
      </c>
      <c r="AT58" s="169">
        <f>IF(CagrTable[[#This Row],[Is Open]], SUM(CagrTable[[#This Row],[Long Share Equivalent]:[ACB Put Share Equivalent]]), 0)</f>
        <v>0</v>
      </c>
      <c r="AU58" s="166">
        <f>IF(OR(CagrTable[[#This Row],[Is Long]], CagrTable[[#This Row],[Is DIV]]), CagrTable[[#This Row],[Acquire Date]], CagrTable[[#This Row],[Sell Date]])</f>
        <v>46174.634513888886</v>
      </c>
      <c r="AV58" s="166" t="str">
        <f>IF(NOT(CagrTable[[#This Row],[Is Option]]), IF(OR(CagrTable[[#This Row],[Is Long]], CagrTable[[#This Row],[Is DIV]]), CagrTable[[#This Row],[Sell Date]], CagrTable[[#This Row],[Acquire Date]]), "")</f>
        <v/>
      </c>
      <c r="AW58" s="166" t="str">
        <f>IF(AND(CagrTable[[#This Row],[Is Option]], CagrTable[[#This Row],[Is Open]]), IF(CagrTable[[#This Row],[Is Long Call]], CagrTable[[#This Row],[Exp Date]], MIN(MockToday, CagrTable[[#This Row],[Exp Date]])), "")</f>
        <v/>
      </c>
      <c r="AX58" s="166">
        <f>IF(AND(CagrTable[[#This Row],[Is Option]], NOT(CagrTable[[#This Row],[Is Open]])), IF(CagrTable[[#This Row],[Is Long]], CagrTable[[#This Row],[Sell Date]], CagrTable[[#This Row],[Acquire Date]]), "")</f>
        <v>46178.729166666664</v>
      </c>
      <c r="AY58" s="166" cm="1">
        <f t="array" ref="AY58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46178.729166666664</v>
      </c>
      <c r="AZ58" s="80" t="b">
        <f>IF(AND(CagrTable[[#This Row],[Visible]], CagrTable[[#This Row],[Is Open]]), OR(CagrTable[[#This Row],[Is Long]], AND(CagrTable[[#This Row],[Is Short]], CagrTable[[#This Row],[Is Naked Call]])), FALSE)</f>
        <v>0</v>
      </c>
      <c r="BA58" s="80" t="b">
        <f>AND(CagrTable[[#This Row],[Visible]], OR(NOT(CagrTable[[#This Row],[Is PLUG]]), CagrTable[[#This Row],[Plug Type]] = "MTM"))</f>
        <v>0</v>
      </c>
      <c r="BB58" s="80" t="b">
        <f>AND(CagrTable[[#This Row],[Visible]],NOT(CagrTable[[#This Row],[Is Open]]),NOT(CagrTable[[#This Row],[Plug Type]] = "MC"),CagrTable[[#This Row],[Position]]&lt;&gt;"DIV")</f>
        <v>0</v>
      </c>
      <c r="BC58" s="193">
        <f>IF(AND(CagrTable[[#This Row],[Visible]], CagrTable[[#This Row],[Plug Type]] = "MC"), CagrTable[[#This Row],[Basis]], 0)</f>
        <v>0</v>
      </c>
      <c r="BD58" s="182">
        <f>IF(CagrTable[[#This Row],[Is PLUG]], 0, CagrTable[[#This Row],[Proceeds]] - CagrTable[[#This Row],[Basis]])</f>
        <v>178.62</v>
      </c>
      <c r="BE58" s="180">
        <f>IF(AND(OR(CagrTable[[#This Row],[Is Short Call]],CagrTable[[#This Row],[Is Short Put]])), CagrTable[[#This Row],[Proceeds]], 0)</f>
        <v>178.62</v>
      </c>
      <c r="BF58" s="180">
        <f>IF(AND(OR(CagrTable[[#This Row],[Is Short Call]],CagrTable[[#This Row],[Is Short Put]])), CagrTable[[#This Row],[Basis]], 0)</f>
        <v>0</v>
      </c>
      <c r="BG58" s="173">
        <f>IF(CagrTable[[#This Row],[Covered Short Share Equivalent]] &gt; 0,-1 * CagrTable[[#This Row],[Premium Input]] / CagrTable[[#This Row],[Covered Short Share Equivalent]], 0)</f>
        <v>-0.223275</v>
      </c>
      <c r="BH58" s="173">
        <f>IF(CagrTable[[#This Row],[Covered Short Share Equivalent]] &gt; 0, CagrTable[[#This Row],[Premium Offset Input]] / CagrTable[[#This Row],[Covered Short Share Equivalent]], 0)</f>
        <v>0</v>
      </c>
      <c r="BI58" s="173">
        <f>SUM(CagrTable[[#This Row],[Premium ACB]:[Premium Offset ACB]])</f>
        <v>-0.223275</v>
      </c>
      <c r="BJ58" s="173">
        <f>IF(CagrTable[[#This Row],[Is Naked Short]],-1 * CagrTable[[#This Row],[Strike Price]] - (CagrTable[[#This Row],[Proceeds]] / CagrTable[[#This Row],[Naked Short Share Equivalent]]), 0)</f>
        <v>0</v>
      </c>
      <c r="BK58" s="173">
        <f>IF(CagrTable[[#This Row],[Is Short Put]], CagrTable[[#This Row],[Strike Price]] + CagrTable[[#This Row],[Net Short Premium ACB]], 0)</f>
        <v>0</v>
      </c>
      <c r="BL58" s="173">
        <f>IF(AND(CagrTable[[#This Row],[Is Long Call]], NOT(CagrTable[[#This Row],[Is PLUG]])), -1 * CagrTable[[#This Row],[P&amp;L]]/(CagrTable[[#This Row],[Qty]] * 100), 0)</f>
        <v>0</v>
      </c>
      <c r="BM58" s="173">
        <f>IF(AND(NOT(CagrTable[[#This Row],[Is Option]]), NOT(CagrTable[[#This Row],[Is PLUG]]), OR(CagrTable[[#This Row],[Is Open]], CagrTable[[#This Row],[Is DIV]]), N(CagrTable[[#This Row],[Qty]])&lt;&gt;0), -CagrTable[[#This Row],[P&amp;L]]/CagrTable[[#This Row],[Qty]], 0)</f>
        <v>0</v>
      </c>
      <c r="BN58" s="173" t="b">
        <f>AND(_Total_ACB_Shares&lt;&gt;0, NOT(CagrTable[[#This Row],[Is PLUG]]))</f>
        <v>0</v>
      </c>
      <c r="BO58" s="173">
        <f>IF(OR(_Total_ACB_Shares=0, CagrTable[[#This Row],[Is PLUG]]), 0, (CagrTable[[#This Row],[ACB]] * CagrTable[[#This Row],[Qty]] * IF(CagrTable[[#This Row],[Is Option]], 100, 1))/ _Total_ACB_Shares)</f>
        <v>0</v>
      </c>
      <c r="BP58" s="184">
        <f t="shared" si="3"/>
        <v>1</v>
      </c>
      <c r="BQ58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-0.223275</v>
      </c>
      <c r="BR58" s="174">
        <f>CagrTable[[#This Row],[Prelim Weighted ACB]] * CagrTable[[#This Row],[ACB Sign]]</f>
        <v>0</v>
      </c>
      <c r="BS58" s="62">
        <f>CagrTable[[#This Row],[Proceeds]] - CagrTable[[#This Row],[Basis]]</f>
        <v>178.62</v>
      </c>
      <c r="BT58" s="91" t="s">
        <v>70</v>
      </c>
      <c r="BU58" s="63" t="s">
        <v>62</v>
      </c>
      <c r="BV58" s="63" t="s">
        <v>71</v>
      </c>
      <c r="BW58" s="63" t="s">
        <v>87</v>
      </c>
      <c r="BX58" s="27"/>
      <c r="BY58" s="58">
        <v>13.09</v>
      </c>
      <c r="BZ58" s="58">
        <v>0.23</v>
      </c>
      <c r="CA58" s="100">
        <v>46174.634513888886</v>
      </c>
      <c r="CB58" s="58">
        <v>0.28000000000000003</v>
      </c>
      <c r="CC58" s="58">
        <v>0.05</v>
      </c>
      <c r="CD58" s="65">
        <v>78</v>
      </c>
      <c r="CE58" s="83"/>
      <c r="CF58" s="66" t="s">
        <v>73</v>
      </c>
      <c r="CG58" s="58"/>
      <c r="CH58" s="66" t="s">
        <v>341</v>
      </c>
      <c r="CI58" s="66" t="s">
        <v>65</v>
      </c>
      <c r="CJ58" s="66"/>
      <c r="CK58" s="58">
        <v>10.5</v>
      </c>
      <c r="CL58" s="58">
        <v>0</v>
      </c>
      <c r="CM58" s="64">
        <v>46178.708333333336</v>
      </c>
      <c r="CN58" s="58">
        <v>0</v>
      </c>
      <c r="CO58" s="58">
        <v>0</v>
      </c>
      <c r="CP58" s="67">
        <v>0</v>
      </c>
      <c r="CQ58" s="82"/>
      <c r="CR58" s="58"/>
      <c r="CS58" s="58"/>
      <c r="CT58" s="66" t="s">
        <v>76</v>
      </c>
      <c r="CU58" s="73"/>
      <c r="CV58" s="181" t="s">
        <v>342</v>
      </c>
      <c r="DC58" s="19"/>
      <c r="DL58" s="13"/>
    </row>
    <row r="59" spans="1:116" ht="12.75" hidden="1" customHeight="1">
      <c r="A59" s="69" t="s">
        <v>173</v>
      </c>
      <c r="B59" s="189" t="s">
        <v>78</v>
      </c>
      <c r="C59" s="88">
        <v>8</v>
      </c>
      <c r="D59" s="70">
        <v>2</v>
      </c>
      <c r="E59" s="1" t="str">
        <f>CONCATENATE(CagrTable[[#This Row],[Symbol]], CagrTable[[#This Row],[ID]])</f>
        <v>SMR2</v>
      </c>
      <c r="F59" s="55" t="s">
        <v>61</v>
      </c>
      <c r="G59" s="56">
        <v>46184.452986111108</v>
      </c>
      <c r="H59" s="58">
        <v>893.38</v>
      </c>
      <c r="I59" s="57">
        <f>IF(ISNUMBER(CagrTable[[#This Row],[Qty]]),CagrTable[[#This Row],[Basis]] /CagrTable[[#This Row],[Qty]], "")</f>
        <v>111.6725</v>
      </c>
      <c r="J59" s="56">
        <v>46174.644513888888</v>
      </c>
      <c r="K59" s="58">
        <v>122.62</v>
      </c>
      <c r="L59" s="78">
        <f>IF(ISNUMBER(CagrTable[[#This Row],[Qty]]),CagrTable[[#This Row],[Proceeds]] / CagrTable[[#This Row],[Qty]], "")</f>
        <v>15.327500000000001</v>
      </c>
      <c r="M59" s="77">
        <f>IF(CagrTable[[#This Row],[Is Open]], CagrTable[[#This Row],[Date Opened]], CagrTable[[#This Row],[Date Closed]])</f>
        <v>46184.452986111108</v>
      </c>
      <c r="N59" s="101"/>
      <c r="O59"/>
      <c r="P59" s="177"/>
      <c r="Q59" s="176"/>
      <c r="R59" s="71">
        <f>IF(CagrTable[[#This Row],[Sell Date]]=CagrTable[[#This Row],[Acquire Date]], 1, ABS(CagrTable[[#This Row],[Sell Date]] - CagrTable[[#This Row],[Acquire Date]]))</f>
        <v>9.8084722222192795</v>
      </c>
      <c r="S59" s="72">
        <f>CagrTable[[#This Row],[Days Held]] / 30</f>
        <v>0.326949074073976</v>
      </c>
      <c r="T59" s="178">
        <v>5.38</v>
      </c>
      <c r="U59" s="179">
        <v>5.38</v>
      </c>
      <c r="V59" s="158">
        <v>46185.729166666664</v>
      </c>
      <c r="W59" s="60">
        <v>10.5</v>
      </c>
      <c r="X59" s="75" t="s">
        <v>83</v>
      </c>
      <c r="Y59" s="61" t="s">
        <v>346</v>
      </c>
      <c r="Z59" s="85" t="str">
        <f>IF(OR(CagrTable[[#This Row],[Is Closed]]="", CagrTable[[#This Row],[Is Closed]]="H"),"Y","")</f>
        <v/>
      </c>
      <c r="AA59" s="85" t="str">
        <f>IF(OR(CagrTable[[#This Row],[Position]]="LNG",CagrTable[[#This Row],[Position]]="SHRT"),"Equity","Option")</f>
        <v>Option</v>
      </c>
      <c r="AB59" s="84" t="str">
        <f>IF(CagrTable[[#This Row],[Pricing Update Included]]="Y",IF(CagrTable[[#This Row],[Pricing Update Asset]]="Equity",CagrTable[[#This Row],[Symbol]],CagrTable[[#This Row],[Option Symbol]]),"")</f>
        <v/>
      </c>
      <c r="AC59" s="80">
        <f>SUBTOTAL(103,CagrTable[[#This Row],[Symbol]])</f>
        <v>0</v>
      </c>
      <c r="AD59" s="80" t="b">
        <f>LEFT(CagrTable[[#This Row],[Position]],1)="L"</f>
        <v>0</v>
      </c>
      <c r="AE59" s="80" t="b">
        <f>LEFT(CagrTable[[#This Row],[Position]],1)="S"</f>
        <v>1</v>
      </c>
      <c r="AF59" s="80" t="b">
        <f>(CagrTable[[#This Row],[Position]] = "DIV")</f>
        <v>0</v>
      </c>
      <c r="AG59" s="80" t="b">
        <f>CagrTable[[#This Row],[Position]] = "PLUG"</f>
        <v>0</v>
      </c>
      <c r="AH59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0</v>
      </c>
      <c r="AI59" s="80" t="b">
        <f>CagrTable[[#This Row],[Is Closed]] &lt;&gt; "Y"</f>
        <v>0</v>
      </c>
      <c r="AJ59" s="84" t="b">
        <f>OR(CagrTable[[#This Row],[Option Type]]&lt;&gt;"",
  CagrTable[[#This Row],[Position]]="LC", CagrTable[[#This Row],[Position]]="SC",
  CagrTable[[#This Row],[Position]]="LP",CagrTable[[#This Row],[Position]]="SP"
)</f>
        <v>1</v>
      </c>
      <c r="AK59" s="84" t="b">
        <f>AND(CagrTable[[#This Row],[Option Type]] = "C", CagrTable[[#This Row],[Is Short]])</f>
        <v>0</v>
      </c>
      <c r="AL59" s="84" t="b">
        <f>AND(CagrTable[[#This Row],[Is Short Call]],CagrTable[[#This Row],[Is Naked Call]] = TRUE)</f>
        <v>0</v>
      </c>
      <c r="AM59" s="84" t="b">
        <f>AND(CagrTable[[#This Row],[Option Type]] = "P", CagrTable[[#This Row],[Is Short]])</f>
        <v>1</v>
      </c>
      <c r="AN59" s="84" t="b">
        <f>CagrTable[[#This Row],[Position]]= "LC"</f>
        <v>0</v>
      </c>
      <c r="AO59" s="169">
        <f>IF(AND(CagrTable[[#This Row],[Is Long]], NOT(CagrTable[[#This Row],[Position]]="LP")), CagrTable[[#This Row],[Qty]] * IF(CagrTable[[#This Row],[Is Option]], 100, 1), 0)</f>
        <v>0</v>
      </c>
      <c r="AP59" s="169">
        <f>IF(CagrTable[[#This Row],[Is Naked Short]], CagrTable[[#This Row],[Qty]] * -100, 0)</f>
        <v>0</v>
      </c>
      <c r="AQ59" s="169">
        <f>IF(CagrTable[[#This Row],[Is ACB Put]], CagrTable[[#This Row],[Qty]] * -100, 0)</f>
        <v>0</v>
      </c>
      <c r="AR59" s="169">
        <f>IF(AND(CagrTable[[#This Row],[Is Short]], NOT(CagrTable[[#This Row],[Is Naked Short]])), CagrTable[[#This Row],[Qty]] * IF(CagrTable[[#This Row],[Is Option]], 100, 1), 0)</f>
        <v>800</v>
      </c>
      <c r="AS59" s="169">
        <f>SUM(CagrTable[[#This Row],[Long Share Equivalent]:[Covered Short Share Equivalent]])</f>
        <v>800</v>
      </c>
      <c r="AT59" s="169">
        <f>IF(CagrTable[[#This Row],[Is Open]], SUM(CagrTable[[#This Row],[Long Share Equivalent]:[ACB Put Share Equivalent]]), 0)</f>
        <v>0</v>
      </c>
      <c r="AU59" s="166">
        <f>IF(OR(CagrTable[[#This Row],[Is Long]], CagrTable[[#This Row],[Is DIV]]), CagrTable[[#This Row],[Acquire Date]], CagrTable[[#This Row],[Sell Date]])</f>
        <v>46174.644513888888</v>
      </c>
      <c r="AV59" s="166" t="str">
        <f>IF(NOT(CagrTable[[#This Row],[Is Option]]), IF(OR(CagrTable[[#This Row],[Is Long]], CagrTable[[#This Row],[Is DIV]]), CagrTable[[#This Row],[Sell Date]], CagrTable[[#This Row],[Acquire Date]]), "")</f>
        <v/>
      </c>
      <c r="AW59" s="166" t="str">
        <f>IF(AND(CagrTable[[#This Row],[Is Option]], CagrTable[[#This Row],[Is Open]]), IF(CagrTable[[#This Row],[Is Long Call]], CagrTable[[#This Row],[Exp Date]], MIN(MockToday, CagrTable[[#This Row],[Exp Date]])), "")</f>
        <v/>
      </c>
      <c r="AX59" s="166">
        <f>IF(AND(CagrTable[[#This Row],[Is Option]], NOT(CagrTable[[#This Row],[Is Open]])), IF(CagrTable[[#This Row],[Is Long]], CagrTable[[#This Row],[Sell Date]], CagrTable[[#This Row],[Acquire Date]]), "")</f>
        <v>46184.452986111108</v>
      </c>
      <c r="AY59" s="166" cm="1">
        <f t="array" ref="AY59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46184.452986111108</v>
      </c>
      <c r="AZ59" s="80" t="b">
        <f>IF(AND(CagrTable[[#This Row],[Visible]], CagrTable[[#This Row],[Is Open]]), OR(CagrTable[[#This Row],[Is Long]], AND(CagrTable[[#This Row],[Is Short]], CagrTable[[#This Row],[Is Naked Call]])), FALSE)</f>
        <v>0</v>
      </c>
      <c r="BA59" s="80" t="b">
        <f>AND(CagrTable[[#This Row],[Visible]], OR(NOT(CagrTable[[#This Row],[Is PLUG]]), CagrTable[[#This Row],[Plug Type]] = "MTM"))</f>
        <v>0</v>
      </c>
      <c r="BB59" s="80" t="b">
        <f>AND(CagrTable[[#This Row],[Visible]],NOT(CagrTable[[#This Row],[Is Open]]),NOT(CagrTable[[#This Row],[Plug Type]] = "MC"),CagrTable[[#This Row],[Position]]&lt;&gt;"DIV")</f>
        <v>0</v>
      </c>
      <c r="BC59" s="193">
        <f>IF(AND(CagrTable[[#This Row],[Visible]], CagrTable[[#This Row],[Plug Type]] = "MC"), CagrTable[[#This Row],[Basis]], 0)</f>
        <v>0</v>
      </c>
      <c r="BD59" s="182">
        <f>IF(CagrTable[[#This Row],[Is PLUG]], 0, CagrTable[[#This Row],[Proceeds]] - CagrTable[[#This Row],[Basis]])</f>
        <v>-770.76</v>
      </c>
      <c r="BE59" s="180">
        <f>IF(AND(OR(CagrTable[[#This Row],[Is Short Call]],CagrTable[[#This Row],[Is Short Put]])), CagrTable[[#This Row],[Proceeds]], 0)</f>
        <v>122.62</v>
      </c>
      <c r="BF59" s="180">
        <f>IF(AND(OR(CagrTable[[#This Row],[Is Short Call]],CagrTable[[#This Row],[Is Short Put]])), CagrTable[[#This Row],[Basis]], 0)</f>
        <v>893.38</v>
      </c>
      <c r="BG59" s="173">
        <f>IF(CagrTable[[#This Row],[Covered Short Share Equivalent]] &gt; 0,-1 * CagrTable[[#This Row],[Premium Input]] / CagrTable[[#This Row],[Covered Short Share Equivalent]], 0)</f>
        <v>-0.15327499999999999</v>
      </c>
      <c r="BH59" s="173">
        <f>IF(CagrTable[[#This Row],[Covered Short Share Equivalent]] &gt; 0, CagrTable[[#This Row],[Premium Offset Input]] / CagrTable[[#This Row],[Covered Short Share Equivalent]], 0)</f>
        <v>1.116725</v>
      </c>
      <c r="BI59" s="173">
        <f>SUM(CagrTable[[#This Row],[Premium ACB]:[Premium Offset ACB]])</f>
        <v>0.96344999999999992</v>
      </c>
      <c r="BJ59" s="173">
        <f>IF(CagrTable[[#This Row],[Is Naked Short]],-1 * CagrTable[[#This Row],[Strike Price]] - (CagrTable[[#This Row],[Proceeds]] / CagrTable[[#This Row],[Naked Short Share Equivalent]]), 0)</f>
        <v>0</v>
      </c>
      <c r="BK59" s="173">
        <f>IF(CagrTable[[#This Row],[Is Short Put]], CagrTable[[#This Row],[Strike Price]] + CagrTable[[#This Row],[Net Short Premium ACB]], 0)</f>
        <v>11.46345</v>
      </c>
      <c r="BL59" s="173">
        <f>IF(AND(CagrTable[[#This Row],[Is Long Call]], NOT(CagrTable[[#This Row],[Is PLUG]])), -1 * CagrTable[[#This Row],[P&amp;L]]/(CagrTable[[#This Row],[Qty]] * 100), 0)</f>
        <v>0</v>
      </c>
      <c r="BM59" s="173">
        <f>IF(AND(NOT(CagrTable[[#This Row],[Is Option]]), NOT(CagrTable[[#This Row],[Is PLUG]]), OR(CagrTable[[#This Row],[Is Open]], CagrTable[[#This Row],[Is DIV]]), N(CagrTable[[#This Row],[Qty]])&lt;&gt;0), -CagrTable[[#This Row],[P&amp;L]]/CagrTable[[#This Row],[Qty]], 0)</f>
        <v>0</v>
      </c>
      <c r="BN59" s="173" t="b">
        <f>AND(_Total_ACB_Shares&lt;&gt;0, NOT(CagrTable[[#This Row],[Is PLUG]]))</f>
        <v>0</v>
      </c>
      <c r="BO59" s="173">
        <f>IF(OR(_Total_ACB_Shares=0, CagrTable[[#This Row],[Is PLUG]]), 0, (CagrTable[[#This Row],[ACB]] * CagrTable[[#This Row],[Qty]] * IF(CagrTable[[#This Row],[Is Option]], 100, 1))/ _Total_ACB_Shares)</f>
        <v>0</v>
      </c>
      <c r="BP59" s="184">
        <f t="shared" ref="BP59:BP64" si="4">IF(_Total_ACB_Shares &lt; 0, -1, 1)</f>
        <v>1</v>
      </c>
      <c r="BQ59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0.96344999999999992</v>
      </c>
      <c r="BR59" s="174">
        <f>CagrTable[[#This Row],[Prelim Weighted ACB]] * CagrTable[[#This Row],[ACB Sign]]</f>
        <v>0</v>
      </c>
      <c r="BS59" s="62">
        <f>CagrTable[[#This Row],[Proceeds]] - CagrTable[[#This Row],[Basis]]</f>
        <v>-770.76</v>
      </c>
      <c r="BT59" s="91" t="s">
        <v>79</v>
      </c>
      <c r="BU59" s="63" t="s">
        <v>62</v>
      </c>
      <c r="BV59" s="63" t="s">
        <v>71</v>
      </c>
      <c r="BW59" s="63" t="s">
        <v>87</v>
      </c>
      <c r="BX59" s="27"/>
      <c r="BY59" s="58">
        <v>13.1</v>
      </c>
      <c r="BZ59" s="58">
        <v>0.16</v>
      </c>
      <c r="CA59" s="100">
        <v>46174.644513888888</v>
      </c>
      <c r="CB59" s="58">
        <v>0.33</v>
      </c>
      <c r="CC59" s="58">
        <v>0.14000000000000001</v>
      </c>
      <c r="CD59" s="65">
        <v>10</v>
      </c>
      <c r="CE59" s="83"/>
      <c r="CF59" s="66" t="s">
        <v>73</v>
      </c>
      <c r="CG59" s="58"/>
      <c r="CH59" s="66" t="s">
        <v>347</v>
      </c>
      <c r="CI59" s="66" t="s">
        <v>65</v>
      </c>
      <c r="CJ59" s="66"/>
      <c r="CK59" s="58">
        <v>9.44</v>
      </c>
      <c r="CL59" s="58">
        <v>1.1100000000000001</v>
      </c>
      <c r="CM59" s="64">
        <v>46184.452986111108</v>
      </c>
      <c r="CN59" s="58">
        <v>0</v>
      </c>
      <c r="CO59" s="58">
        <v>0</v>
      </c>
      <c r="CP59" s="67">
        <v>-1</v>
      </c>
      <c r="CQ59" s="82"/>
      <c r="CR59" s="58" t="s">
        <v>64</v>
      </c>
      <c r="CS59" s="58">
        <v>0.35</v>
      </c>
      <c r="CT59" s="66" t="s">
        <v>348</v>
      </c>
      <c r="CU59" s="73"/>
      <c r="CV59" s="181" t="s">
        <v>345</v>
      </c>
      <c r="DC59" s="19"/>
      <c r="DL59" s="13"/>
    </row>
    <row r="60" spans="1:116" ht="12.75" hidden="1" customHeight="1">
      <c r="A60" s="69" t="s">
        <v>173</v>
      </c>
      <c r="B60" s="189" t="s">
        <v>78</v>
      </c>
      <c r="C60" s="88">
        <v>8</v>
      </c>
      <c r="D60" s="70">
        <v>2</v>
      </c>
      <c r="E60" s="1" t="str">
        <f>CONCATENATE(CagrTable[[#This Row],[Symbol]], CagrTable[[#This Row],[ID]])</f>
        <v>SMR2</v>
      </c>
      <c r="F60" s="55" t="s">
        <v>61</v>
      </c>
      <c r="G60" s="56">
        <v>46199.645532407405</v>
      </c>
      <c r="H60" s="58">
        <v>432.18</v>
      </c>
      <c r="I60" s="57">
        <f>IF(ISNUMBER(CagrTable[[#This Row],[Qty]]),CagrTable[[#This Row],[Basis]] /CagrTable[[#This Row],[Qty]], "")</f>
        <v>54.022500000000001</v>
      </c>
      <c r="J60" s="56">
        <v>46184.452986111108</v>
      </c>
      <c r="K60" s="58">
        <v>1162.5899999999999</v>
      </c>
      <c r="L60" s="78">
        <f>IF(ISNUMBER(CagrTable[[#This Row],[Qty]]),CagrTable[[#This Row],[Proceeds]] / CagrTable[[#This Row],[Qty]], "")</f>
        <v>145.32374999999999</v>
      </c>
      <c r="M60" s="77">
        <f>IF(CagrTable[[#This Row],[Is Open]], CagrTable[[#This Row],[Date Opened]], CagrTable[[#This Row],[Date Closed]])</f>
        <v>46199.645532407405</v>
      </c>
      <c r="N60" s="101"/>
      <c r="O60"/>
      <c r="P60" s="177"/>
      <c r="Q60" s="176"/>
      <c r="R60" s="71">
        <f>IF(CagrTable[[#This Row],[Sell Date]]=CagrTable[[#This Row],[Acquire Date]], 1, ABS(CagrTable[[#This Row],[Sell Date]] - CagrTable[[#This Row],[Acquire Date]]))</f>
        <v>15.192546296297223</v>
      </c>
      <c r="S60" s="72">
        <f>CagrTable[[#This Row],[Days Held]] / 30</f>
        <v>0.50641820987657415</v>
      </c>
      <c r="T60" s="178">
        <v>5.41</v>
      </c>
      <c r="U60" s="179">
        <v>0.18</v>
      </c>
      <c r="V60" s="158">
        <v>46199.729166666664</v>
      </c>
      <c r="W60" s="60">
        <v>10.5</v>
      </c>
      <c r="X60" s="75" t="s">
        <v>83</v>
      </c>
      <c r="Y60" s="61" t="s">
        <v>349</v>
      </c>
      <c r="Z60" s="85" t="str">
        <f>IF(OR(CagrTable[[#This Row],[Is Closed]]="", CagrTable[[#This Row],[Is Closed]]="H"),"Y","")</f>
        <v/>
      </c>
      <c r="AA60" s="85" t="str">
        <f>IF(OR(CagrTable[[#This Row],[Position]]="LNG",CagrTable[[#This Row],[Position]]="SHRT"),"Equity","Option")</f>
        <v>Option</v>
      </c>
      <c r="AB60" s="84" t="str">
        <f>IF(CagrTable[[#This Row],[Pricing Update Included]]="Y",IF(CagrTable[[#This Row],[Pricing Update Asset]]="Equity",CagrTable[[#This Row],[Symbol]],CagrTable[[#This Row],[Option Symbol]]),"")</f>
        <v/>
      </c>
      <c r="AC60" s="80">
        <f>SUBTOTAL(103,CagrTable[[#This Row],[Symbol]])</f>
        <v>0</v>
      </c>
      <c r="AD60" s="80" t="b">
        <f>LEFT(CagrTable[[#This Row],[Position]],1)="L"</f>
        <v>0</v>
      </c>
      <c r="AE60" s="80" t="b">
        <f>LEFT(CagrTable[[#This Row],[Position]],1)="S"</f>
        <v>1</v>
      </c>
      <c r="AF60" s="80" t="b">
        <f>(CagrTable[[#This Row],[Position]] = "DIV")</f>
        <v>0</v>
      </c>
      <c r="AG60" s="80" t="b">
        <f>CagrTable[[#This Row],[Position]] = "PLUG"</f>
        <v>0</v>
      </c>
      <c r="AH60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0</v>
      </c>
      <c r="AI60" s="80" t="b">
        <f>CagrTable[[#This Row],[Is Closed]] &lt;&gt; "Y"</f>
        <v>0</v>
      </c>
      <c r="AJ60" s="84" t="b">
        <f>OR(CagrTable[[#This Row],[Option Type]]&lt;&gt;"",
  CagrTable[[#This Row],[Position]]="LC", CagrTable[[#This Row],[Position]]="SC",
  CagrTable[[#This Row],[Position]]="LP",CagrTable[[#This Row],[Position]]="SP"
)</f>
        <v>1</v>
      </c>
      <c r="AK60" s="84" t="b">
        <f>AND(CagrTable[[#This Row],[Option Type]] = "C", CagrTable[[#This Row],[Is Short]])</f>
        <v>0</v>
      </c>
      <c r="AL60" s="84" t="b">
        <f>AND(CagrTable[[#This Row],[Is Short Call]],CagrTable[[#This Row],[Is Naked Call]] = TRUE)</f>
        <v>0</v>
      </c>
      <c r="AM60" s="84" t="b">
        <f>AND(CagrTable[[#This Row],[Option Type]] = "P", CagrTable[[#This Row],[Is Short]])</f>
        <v>1</v>
      </c>
      <c r="AN60" s="84" t="b">
        <f>CagrTable[[#This Row],[Position]]= "LC"</f>
        <v>0</v>
      </c>
      <c r="AO60" s="169">
        <f>IF(AND(CagrTable[[#This Row],[Is Long]], NOT(CagrTable[[#This Row],[Position]]="LP")), CagrTable[[#This Row],[Qty]] * IF(CagrTable[[#This Row],[Is Option]], 100, 1), 0)</f>
        <v>0</v>
      </c>
      <c r="AP60" s="169">
        <f>IF(CagrTable[[#This Row],[Is Naked Short]], CagrTable[[#This Row],[Qty]] * -100, 0)</f>
        <v>0</v>
      </c>
      <c r="AQ60" s="169">
        <f>IF(CagrTable[[#This Row],[Is ACB Put]], CagrTable[[#This Row],[Qty]] * -100, 0)</f>
        <v>0</v>
      </c>
      <c r="AR60" s="169">
        <f>IF(AND(CagrTable[[#This Row],[Is Short]], NOT(CagrTable[[#This Row],[Is Naked Short]])), CagrTable[[#This Row],[Qty]] * IF(CagrTable[[#This Row],[Is Option]], 100, 1), 0)</f>
        <v>800</v>
      </c>
      <c r="AS60" s="169">
        <f>SUM(CagrTable[[#This Row],[Long Share Equivalent]:[Covered Short Share Equivalent]])</f>
        <v>800</v>
      </c>
      <c r="AT60" s="169">
        <f>IF(CagrTable[[#This Row],[Is Open]], SUM(CagrTable[[#This Row],[Long Share Equivalent]:[ACB Put Share Equivalent]]), 0)</f>
        <v>0</v>
      </c>
      <c r="AU60" s="166">
        <f>IF(OR(CagrTable[[#This Row],[Is Long]], CagrTable[[#This Row],[Is DIV]]), CagrTable[[#This Row],[Acquire Date]], CagrTable[[#This Row],[Sell Date]])</f>
        <v>46184.452986111108</v>
      </c>
      <c r="AV60" s="166" t="str">
        <f>IF(NOT(CagrTable[[#This Row],[Is Option]]), IF(OR(CagrTable[[#This Row],[Is Long]], CagrTable[[#This Row],[Is DIV]]), CagrTable[[#This Row],[Sell Date]], CagrTable[[#This Row],[Acquire Date]]), "")</f>
        <v/>
      </c>
      <c r="AW60" s="166" t="str">
        <f>IF(AND(CagrTable[[#This Row],[Is Option]], CagrTable[[#This Row],[Is Open]]), IF(CagrTable[[#This Row],[Is Long Call]], CagrTable[[#This Row],[Exp Date]], MIN(MockToday, CagrTable[[#This Row],[Exp Date]])), "")</f>
        <v/>
      </c>
      <c r="AX60" s="166">
        <f>IF(AND(CagrTable[[#This Row],[Is Option]], NOT(CagrTable[[#This Row],[Is Open]])), IF(CagrTable[[#This Row],[Is Long]], CagrTable[[#This Row],[Sell Date]], CagrTable[[#This Row],[Acquire Date]]), "")</f>
        <v>46199.645532407405</v>
      </c>
      <c r="AY60" s="166" cm="1">
        <f t="array" ref="AY60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46199.645532407405</v>
      </c>
      <c r="AZ60" s="80" t="b">
        <f>IF(AND(CagrTable[[#This Row],[Visible]], CagrTable[[#This Row],[Is Open]]), OR(CagrTable[[#This Row],[Is Long]], AND(CagrTable[[#This Row],[Is Short]], CagrTable[[#This Row],[Is Naked Call]])), FALSE)</f>
        <v>0</v>
      </c>
      <c r="BA60" s="80" t="b">
        <f>AND(CagrTable[[#This Row],[Visible]], OR(NOT(CagrTable[[#This Row],[Is PLUG]]), CagrTable[[#This Row],[Plug Type]] = "MTM"))</f>
        <v>0</v>
      </c>
      <c r="BB60" s="80" t="b">
        <f>AND(CagrTable[[#This Row],[Visible]],NOT(CagrTable[[#This Row],[Is Open]]),NOT(CagrTable[[#This Row],[Plug Type]] = "MC"),CagrTable[[#This Row],[Position]]&lt;&gt;"DIV")</f>
        <v>0</v>
      </c>
      <c r="BC60" s="193">
        <f>IF(AND(CagrTable[[#This Row],[Visible]], CagrTable[[#This Row],[Plug Type]] = "MC"), CagrTable[[#This Row],[Basis]], 0)</f>
        <v>0</v>
      </c>
      <c r="BD60" s="182">
        <f>IF(CagrTable[[#This Row],[Is PLUG]], 0, CagrTable[[#This Row],[Proceeds]] - CagrTable[[#This Row],[Basis]])</f>
        <v>730.40999999999985</v>
      </c>
      <c r="BE60" s="180">
        <f>IF(AND(OR(CagrTable[[#This Row],[Is Short Call]],CagrTable[[#This Row],[Is Short Put]])), CagrTable[[#This Row],[Proceeds]], 0)</f>
        <v>1162.5899999999999</v>
      </c>
      <c r="BF60" s="180">
        <f>IF(AND(OR(CagrTable[[#This Row],[Is Short Call]],CagrTable[[#This Row],[Is Short Put]])), CagrTable[[#This Row],[Basis]], 0)</f>
        <v>432.18</v>
      </c>
      <c r="BG60" s="173">
        <f>IF(CagrTable[[#This Row],[Covered Short Share Equivalent]] &gt; 0,-1 * CagrTable[[#This Row],[Premium Input]] / CagrTable[[#This Row],[Covered Short Share Equivalent]], 0)</f>
        <v>-1.4532375</v>
      </c>
      <c r="BH60" s="173">
        <f>IF(CagrTable[[#This Row],[Covered Short Share Equivalent]] &gt; 0, CagrTable[[#This Row],[Premium Offset Input]] / CagrTable[[#This Row],[Covered Short Share Equivalent]], 0)</f>
        <v>0.54022499999999996</v>
      </c>
      <c r="BI60" s="173">
        <f>SUM(CagrTable[[#This Row],[Premium ACB]:[Premium Offset ACB]])</f>
        <v>-0.9130125</v>
      </c>
      <c r="BJ60" s="173">
        <f>IF(CagrTable[[#This Row],[Is Naked Short]],-1 * CagrTable[[#This Row],[Strike Price]] - (CagrTable[[#This Row],[Proceeds]] / CagrTable[[#This Row],[Naked Short Share Equivalent]]), 0)</f>
        <v>0</v>
      </c>
      <c r="BK60" s="173">
        <f>IF(CagrTable[[#This Row],[Is Short Put]], CagrTable[[#This Row],[Strike Price]] + CagrTable[[#This Row],[Net Short Premium ACB]], 0)</f>
        <v>9.5869874999999993</v>
      </c>
      <c r="BL60" s="173">
        <f>IF(AND(CagrTable[[#This Row],[Is Long Call]], NOT(CagrTable[[#This Row],[Is PLUG]])), -1 * CagrTable[[#This Row],[P&amp;L]]/(CagrTable[[#This Row],[Qty]] * 100), 0)</f>
        <v>0</v>
      </c>
      <c r="BM60" s="173">
        <f>IF(AND(NOT(CagrTable[[#This Row],[Is Option]]), NOT(CagrTable[[#This Row],[Is PLUG]]), OR(CagrTable[[#This Row],[Is Open]], CagrTable[[#This Row],[Is DIV]]), N(CagrTable[[#This Row],[Qty]])&lt;&gt;0), -CagrTable[[#This Row],[P&amp;L]]/CagrTable[[#This Row],[Qty]], 0)</f>
        <v>0</v>
      </c>
      <c r="BN60" s="173" t="b">
        <f>AND(_Total_ACB_Shares&lt;&gt;0, NOT(CagrTable[[#This Row],[Is PLUG]]))</f>
        <v>0</v>
      </c>
      <c r="BO60" s="173">
        <f>IF(OR(_Total_ACB_Shares=0, CagrTable[[#This Row],[Is PLUG]]), 0, (CagrTable[[#This Row],[ACB]] * CagrTable[[#This Row],[Qty]] * IF(CagrTable[[#This Row],[Is Option]], 100, 1))/ _Total_ACB_Shares)</f>
        <v>0</v>
      </c>
      <c r="BP60" s="184">
        <f t="shared" si="4"/>
        <v>1</v>
      </c>
      <c r="BQ60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-0.9130125</v>
      </c>
      <c r="BR60" s="174">
        <f>CagrTable[[#This Row],[Prelim Weighted ACB]] * CagrTable[[#This Row],[ACB Sign]]</f>
        <v>0</v>
      </c>
      <c r="BS60" s="62">
        <f>CagrTable[[#This Row],[Proceeds]] - CagrTable[[#This Row],[Basis]]</f>
        <v>730.40999999999985</v>
      </c>
      <c r="BT60" s="91" t="s">
        <v>79</v>
      </c>
      <c r="BU60" s="63" t="s">
        <v>62</v>
      </c>
      <c r="BV60" s="63" t="s">
        <v>71</v>
      </c>
      <c r="BW60" s="63" t="s">
        <v>87</v>
      </c>
      <c r="BX60" s="27"/>
      <c r="BY60" s="58">
        <v>9.44</v>
      </c>
      <c r="BZ60" s="58">
        <v>1.46</v>
      </c>
      <c r="CA60" s="100">
        <v>46184.452986111108</v>
      </c>
      <c r="CB60" s="58">
        <v>0</v>
      </c>
      <c r="CC60" s="58">
        <v>0</v>
      </c>
      <c r="CD60" s="65">
        <v>-1</v>
      </c>
      <c r="CE60" s="83"/>
      <c r="CF60" s="66" t="s">
        <v>64</v>
      </c>
      <c r="CG60" s="58">
        <v>0.35</v>
      </c>
      <c r="CH60" s="66" t="s">
        <v>350</v>
      </c>
      <c r="CI60" s="66" t="s">
        <v>65</v>
      </c>
      <c r="CJ60" s="66"/>
      <c r="CK60" s="58">
        <v>9.99</v>
      </c>
      <c r="CL60" s="58">
        <v>0.54</v>
      </c>
      <c r="CM60" s="64">
        <v>46199.645532407405</v>
      </c>
      <c r="CN60" s="58">
        <v>0.79</v>
      </c>
      <c r="CO60" s="58">
        <v>0.28999999999999998</v>
      </c>
      <c r="CP60" s="67">
        <v>50</v>
      </c>
      <c r="CQ60" s="82"/>
      <c r="CR60" s="58" t="s">
        <v>64</v>
      </c>
      <c r="CS60" s="58">
        <v>0.5</v>
      </c>
      <c r="CT60" s="66" t="s">
        <v>376</v>
      </c>
      <c r="CU60" s="73"/>
      <c r="CV60" s="181" t="s">
        <v>351</v>
      </c>
      <c r="DC60" s="19"/>
      <c r="DL60" s="13"/>
    </row>
    <row r="61" spans="1:116" ht="12.75" hidden="1" customHeight="1">
      <c r="A61" s="69" t="s">
        <v>173</v>
      </c>
      <c r="B61" s="189" t="s">
        <v>78</v>
      </c>
      <c r="C61" s="88">
        <v>8</v>
      </c>
      <c r="D61" s="70">
        <v>2</v>
      </c>
      <c r="E61" s="1" t="str">
        <f>CONCATENATE(CagrTable[[#This Row],[Symbol]], CagrTable[[#This Row],[ID]])</f>
        <v>SMR2</v>
      </c>
      <c r="F61" s="55" t="s">
        <v>61</v>
      </c>
      <c r="G61" s="56">
        <v>46213.666666666664</v>
      </c>
      <c r="H61" s="58">
        <v>0</v>
      </c>
      <c r="I61" s="57">
        <f>IF(ISNUMBER(CagrTable[[#This Row],[Qty]]),CagrTable[[#This Row],[Basis]] /CagrTable[[#This Row],[Qty]], "")</f>
        <v>0</v>
      </c>
      <c r="J61" s="56">
        <v>46199.645543981482</v>
      </c>
      <c r="K61" s="58">
        <v>826.6</v>
      </c>
      <c r="L61" s="78">
        <f>IF(ISNUMBER(CagrTable[[#This Row],[Qty]]),CagrTable[[#This Row],[Proceeds]] / CagrTable[[#This Row],[Qty]], "")</f>
        <v>103.325</v>
      </c>
      <c r="M61" s="77">
        <f>IF(CagrTable[[#This Row],[Is Open]], CagrTable[[#This Row],[Date Opened]], CagrTable[[#This Row],[Date Closed]])</f>
        <v>46213.666666666664</v>
      </c>
      <c r="N61" s="101"/>
      <c r="O61"/>
      <c r="P61" s="177"/>
      <c r="Q61" s="176"/>
      <c r="R61" s="71">
        <f>IF(CagrTable[[#This Row],[Sell Date]]=CagrTable[[#This Row],[Acquire Date]], 1, ABS(CagrTable[[#This Row],[Sell Date]] - CagrTable[[#This Row],[Acquire Date]]))</f>
        <v>14.02112268518249</v>
      </c>
      <c r="S61" s="59">
        <f>CagrTable[[#This Row],[Days Held]] / 30</f>
        <v>0.4673707561727497</v>
      </c>
      <c r="T61" s="178">
        <v>5.4</v>
      </c>
      <c r="U61" s="179"/>
      <c r="V61" s="158">
        <v>46213.729166666664</v>
      </c>
      <c r="W61" s="60">
        <v>10.5</v>
      </c>
      <c r="X61" s="75" t="s">
        <v>83</v>
      </c>
      <c r="Y61" s="61" t="s">
        <v>377</v>
      </c>
      <c r="Z61" s="85" t="str">
        <f>IF(OR(CagrTable[[#This Row],[Is Closed]]="", CagrTable[[#This Row],[Is Closed]]="H"),"Y","")</f>
        <v/>
      </c>
      <c r="AA61" s="85" t="str">
        <f>IF(OR(CagrTable[[#This Row],[Position]]="LNG",CagrTable[[#This Row],[Position]]="SHRT"),"Equity","Option")</f>
        <v>Option</v>
      </c>
      <c r="AB61" s="84" t="str">
        <f>IF(CagrTable[[#This Row],[Pricing Update Included]]="Y",IF(CagrTable[[#This Row],[Pricing Update Asset]]="Equity",CagrTable[[#This Row],[Symbol]],CagrTable[[#This Row],[Option Symbol]]),"")</f>
        <v/>
      </c>
      <c r="AC61" s="80">
        <f>SUBTOTAL(103,CagrTable[[#This Row],[Symbol]])</f>
        <v>0</v>
      </c>
      <c r="AD61" s="80" t="b">
        <f>LEFT(CagrTable[[#This Row],[Position]],1)="L"</f>
        <v>0</v>
      </c>
      <c r="AE61" s="80" t="b">
        <f>LEFT(CagrTable[[#This Row],[Position]],1)="S"</f>
        <v>1</v>
      </c>
      <c r="AF61" s="80" t="b">
        <f>(CagrTable[[#This Row],[Position]] = "DIV")</f>
        <v>0</v>
      </c>
      <c r="AG61" s="80" t="b">
        <f>CagrTable[[#This Row],[Position]] = "PLUG"</f>
        <v>0</v>
      </c>
      <c r="AH61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0</v>
      </c>
      <c r="AI61" s="80" t="b">
        <f>CagrTable[[#This Row],[Is Closed]] &lt;&gt; "Y"</f>
        <v>0</v>
      </c>
      <c r="AJ61" s="84" t="b">
        <f>OR(CagrTable[[#This Row],[Option Type]]&lt;&gt;"",
  CagrTable[[#This Row],[Position]]="LC", CagrTable[[#This Row],[Position]]="SC",
  CagrTable[[#This Row],[Position]]="LP",CagrTable[[#This Row],[Position]]="SP"
)</f>
        <v>1</v>
      </c>
      <c r="AK61" s="84" t="b">
        <f>AND(CagrTable[[#This Row],[Option Type]] = "C", CagrTable[[#This Row],[Is Short]])</f>
        <v>0</v>
      </c>
      <c r="AL61" s="84" t="b">
        <f>AND(CagrTable[[#This Row],[Is Short Call]],CagrTable[[#This Row],[Is Naked Call]] = TRUE)</f>
        <v>0</v>
      </c>
      <c r="AM61" s="84" t="b">
        <f>AND(CagrTable[[#This Row],[Option Type]] = "P", CagrTable[[#This Row],[Is Short]])</f>
        <v>1</v>
      </c>
      <c r="AN61" s="84" t="b">
        <f>CagrTable[[#This Row],[Position]]= "LC"</f>
        <v>0</v>
      </c>
      <c r="AO61" s="169">
        <f>IF(AND(CagrTable[[#This Row],[Is Long]], NOT(CagrTable[[#This Row],[Position]]="LP")), CagrTable[[#This Row],[Qty]] * IF(CagrTable[[#This Row],[Is Option]], 100, 1), 0)</f>
        <v>0</v>
      </c>
      <c r="AP61" s="169">
        <f>IF(CagrTable[[#This Row],[Is Naked Short]], CagrTable[[#This Row],[Qty]] * -100, 0)</f>
        <v>0</v>
      </c>
      <c r="AQ61" s="169">
        <f>IF(CagrTable[[#This Row],[Is ACB Put]], CagrTable[[#This Row],[Qty]] * -100, 0)</f>
        <v>0</v>
      </c>
      <c r="AR61" s="169">
        <f>IF(AND(CagrTable[[#This Row],[Is Short]], NOT(CagrTable[[#This Row],[Is Naked Short]])), CagrTable[[#This Row],[Qty]] * IF(CagrTable[[#This Row],[Is Option]], 100, 1), 0)</f>
        <v>800</v>
      </c>
      <c r="AS61" s="169">
        <f>SUM(CagrTable[[#This Row],[Long Share Equivalent]:[Covered Short Share Equivalent]])</f>
        <v>800</v>
      </c>
      <c r="AT61" s="169">
        <f>IF(CagrTable[[#This Row],[Is Open]], SUM(CagrTable[[#This Row],[Long Share Equivalent]:[ACB Put Share Equivalent]]), 0)</f>
        <v>0</v>
      </c>
      <c r="AU61" s="166">
        <f>IF(OR(CagrTable[[#This Row],[Is Long]], CagrTable[[#This Row],[Is DIV]]), CagrTable[[#This Row],[Acquire Date]], CagrTable[[#This Row],[Sell Date]])</f>
        <v>46199.645543981482</v>
      </c>
      <c r="AV61" s="166" t="str">
        <f>IF(NOT(CagrTable[[#This Row],[Is Option]]), IF(OR(CagrTable[[#This Row],[Is Long]], CagrTable[[#This Row],[Is DIV]]), CagrTable[[#This Row],[Sell Date]], CagrTable[[#This Row],[Acquire Date]]), "")</f>
        <v/>
      </c>
      <c r="AW61" s="166" t="str">
        <f>IF(AND(CagrTable[[#This Row],[Is Option]], CagrTable[[#This Row],[Is Open]]), IF(CagrTable[[#This Row],[Is Long Call]], CagrTable[[#This Row],[Exp Date]], MIN(MockToday, CagrTable[[#This Row],[Exp Date]])), "")</f>
        <v/>
      </c>
      <c r="AX61" s="166">
        <f>IF(AND(CagrTable[[#This Row],[Is Option]], NOT(CagrTable[[#This Row],[Is Open]])), IF(CagrTable[[#This Row],[Is Long]], CagrTable[[#This Row],[Sell Date]], CagrTable[[#This Row],[Acquire Date]]), "")</f>
        <v>46213.666666666664</v>
      </c>
      <c r="AY61" s="166" cm="1">
        <f t="array" ref="AY61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46213.666666666664</v>
      </c>
      <c r="AZ61" s="80" t="b">
        <f>IF(AND(CagrTable[[#This Row],[Visible]], CagrTable[[#This Row],[Is Open]]), OR(CagrTable[[#This Row],[Is Long]], AND(CagrTable[[#This Row],[Is Short]], CagrTable[[#This Row],[Is Naked Call]])), FALSE)</f>
        <v>0</v>
      </c>
      <c r="BA61" s="80" t="b">
        <f>AND(CagrTable[[#This Row],[Visible]], OR(NOT(CagrTable[[#This Row],[Is PLUG]]), CagrTable[[#This Row],[Plug Type]] = "MTM"))</f>
        <v>0</v>
      </c>
      <c r="BB61" s="80" t="b">
        <f>AND(CagrTable[[#This Row],[Visible]],NOT(CagrTable[[#This Row],[Is Open]]),NOT(CagrTable[[#This Row],[Plug Type]] = "MC"),CagrTable[[#This Row],[Position]]&lt;&gt;"DIV")</f>
        <v>0</v>
      </c>
      <c r="BC61" s="193">
        <f>IF(AND(CagrTable[[#This Row],[Visible]], CagrTable[[#This Row],[Plug Type]] = "MC"), CagrTable[[#This Row],[Basis]], 0)</f>
        <v>0</v>
      </c>
      <c r="BD61" s="182">
        <f>IF(CagrTable[[#This Row],[Is PLUG]], 0, CagrTable[[#This Row],[Proceeds]] - CagrTable[[#This Row],[Basis]])</f>
        <v>826.6</v>
      </c>
      <c r="BE61" s="180">
        <f>IF(AND(OR(CagrTable[[#This Row],[Is Short Call]],CagrTable[[#This Row],[Is Short Put]])), CagrTable[[#This Row],[Proceeds]], 0)</f>
        <v>826.6</v>
      </c>
      <c r="BF61" s="180">
        <f>IF(AND(OR(CagrTable[[#This Row],[Is Short Call]],CagrTable[[#This Row],[Is Short Put]])), CagrTable[[#This Row],[Basis]], 0)</f>
        <v>0</v>
      </c>
      <c r="BG61" s="173">
        <f>IF(CagrTable[[#This Row],[Covered Short Share Equivalent]] &gt; 0,-1 * CagrTable[[#This Row],[Premium Input]] / CagrTable[[#This Row],[Covered Short Share Equivalent]], 0)</f>
        <v>-1.03325</v>
      </c>
      <c r="BH61" s="173">
        <f>IF(CagrTable[[#This Row],[Covered Short Share Equivalent]] &gt; 0, CagrTable[[#This Row],[Premium Offset Input]] / CagrTable[[#This Row],[Covered Short Share Equivalent]], 0)</f>
        <v>0</v>
      </c>
      <c r="BI61" s="173">
        <f>SUM(CagrTable[[#This Row],[Premium ACB]:[Premium Offset ACB]])</f>
        <v>-1.03325</v>
      </c>
      <c r="BJ61" s="173">
        <f>IF(CagrTable[[#This Row],[Is Naked Short]],-1 * CagrTable[[#This Row],[Strike Price]] - (CagrTable[[#This Row],[Proceeds]] / CagrTable[[#This Row],[Naked Short Share Equivalent]]), 0)</f>
        <v>0</v>
      </c>
      <c r="BK61" s="173">
        <f>IF(CagrTable[[#This Row],[Is Short Put]], CagrTable[[#This Row],[Strike Price]] + CagrTable[[#This Row],[Net Short Premium ACB]], 0)</f>
        <v>9.4667499999999993</v>
      </c>
      <c r="BL61" s="173">
        <f>IF(AND(CagrTable[[#This Row],[Is Long Call]], NOT(CagrTable[[#This Row],[Is PLUG]])), -1 * CagrTable[[#This Row],[P&amp;L]]/(CagrTable[[#This Row],[Qty]] * 100), 0)</f>
        <v>0</v>
      </c>
      <c r="BM61" s="173">
        <f>IF(AND(NOT(CagrTable[[#This Row],[Is Option]]), NOT(CagrTable[[#This Row],[Is PLUG]]), OR(CagrTable[[#This Row],[Is Open]], CagrTable[[#This Row],[Is DIV]]), N(CagrTable[[#This Row],[Qty]])&lt;&gt;0), -CagrTable[[#This Row],[P&amp;L]]/CagrTable[[#This Row],[Qty]], 0)</f>
        <v>0</v>
      </c>
      <c r="BN61" s="173" t="b">
        <f>AND(_Total_ACB_Shares&lt;&gt;0, NOT(CagrTable[[#This Row],[Is PLUG]]))</f>
        <v>0</v>
      </c>
      <c r="BO61" s="173">
        <f>IF(OR(_Total_ACB_Shares=0, CagrTable[[#This Row],[Is PLUG]]), 0, (CagrTable[[#This Row],[ACB]] * CagrTable[[#This Row],[Qty]] * IF(CagrTable[[#This Row],[Is Option]], 100, 1))/ _Total_ACB_Shares)</f>
        <v>0</v>
      </c>
      <c r="BP61" s="184">
        <f t="shared" si="4"/>
        <v>1</v>
      </c>
      <c r="BQ61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-1.03325</v>
      </c>
      <c r="BR61" s="174">
        <f>CagrTable[[#This Row],[Prelim Weighted ACB]] * CagrTable[[#This Row],[ACB Sign]]</f>
        <v>0</v>
      </c>
      <c r="BS61" s="62">
        <f>CagrTable[[#This Row],[Proceeds]] - CagrTable[[#This Row],[Basis]]</f>
        <v>826.6</v>
      </c>
      <c r="BT61" s="91" t="s">
        <v>79</v>
      </c>
      <c r="BU61" s="63" t="s">
        <v>62</v>
      </c>
      <c r="BV61" s="63" t="s">
        <v>71</v>
      </c>
      <c r="BW61" s="63" t="s">
        <v>87</v>
      </c>
      <c r="BX61" s="27"/>
      <c r="BY61" s="58">
        <v>9.99</v>
      </c>
      <c r="BZ61" s="58">
        <v>1.04</v>
      </c>
      <c r="CA61" s="100">
        <v>46199.645543981482</v>
      </c>
      <c r="CB61" s="58">
        <v>1.1000000000000001</v>
      </c>
      <c r="CC61" s="58">
        <v>1.01</v>
      </c>
      <c r="CD61" s="65">
        <v>33</v>
      </c>
      <c r="CE61" s="82"/>
      <c r="CF61" s="66" t="s">
        <v>64</v>
      </c>
      <c r="CG61" s="58">
        <v>0.5</v>
      </c>
      <c r="CH61" s="66" t="s">
        <v>378</v>
      </c>
      <c r="CI61" s="66" t="s">
        <v>65</v>
      </c>
      <c r="CJ61" s="66"/>
      <c r="CK61" s="58">
        <v>9.0399999999999991</v>
      </c>
      <c r="CL61" s="58">
        <v>0</v>
      </c>
      <c r="CM61" s="64">
        <v>46213.708333333336</v>
      </c>
      <c r="CN61" s="58">
        <v>0</v>
      </c>
      <c r="CO61" s="58">
        <v>0</v>
      </c>
      <c r="CP61" s="67">
        <v>0</v>
      </c>
      <c r="CQ61" s="82"/>
      <c r="CR61" s="58"/>
      <c r="CS61" s="58"/>
      <c r="CT61" s="66" t="s">
        <v>66</v>
      </c>
      <c r="CU61" s="68"/>
      <c r="CV61" s="181" t="s">
        <v>379</v>
      </c>
      <c r="DC61" s="19"/>
      <c r="DL61" s="13"/>
    </row>
    <row r="62" spans="1:116" ht="12.75" hidden="1" customHeight="1">
      <c r="A62" s="69" t="s">
        <v>173</v>
      </c>
      <c r="B62" s="189" t="s">
        <v>60</v>
      </c>
      <c r="C62" s="88">
        <v>800</v>
      </c>
      <c r="D62" s="70">
        <v>2</v>
      </c>
      <c r="E62" s="1" t="str">
        <f>CONCATENATE(CagrTable[[#This Row],[Symbol]], CagrTable[[#This Row],[ID]])</f>
        <v>SMR2</v>
      </c>
      <c r="F62" s="55"/>
      <c r="G62" s="56">
        <v>46213.708333333336</v>
      </c>
      <c r="H62" s="58">
        <v>8400</v>
      </c>
      <c r="I62" s="57">
        <f>IF(ISNUMBER(CagrTable[[#This Row],[Qty]]),CagrTable[[#This Row],[Basis]] /CagrTable[[#This Row],[Qty]], "")</f>
        <v>10.5</v>
      </c>
      <c r="J62" s="56">
        <v>46213</v>
      </c>
      <c r="K62" s="58">
        <v>0</v>
      </c>
      <c r="L62" s="78">
        <f>IF(ISNUMBER(CagrTable[[#This Row],[Qty]]),CagrTable[[#This Row],[Proceeds]] / CagrTable[[#This Row],[Qty]], "")</f>
        <v>0</v>
      </c>
      <c r="M62" s="77">
        <f>IF(CagrTable[[#This Row],[Is Open]], CagrTable[[#This Row],[Date Opened]], CagrTable[[#This Row],[Date Closed]])</f>
        <v>46213.708333333336</v>
      </c>
      <c r="N62" s="101"/>
      <c r="O62"/>
      <c r="P62" s="177"/>
      <c r="Q62" s="176"/>
      <c r="R62" s="71">
        <f>IF(CagrTable[[#This Row],[Sell Date]]=CagrTable[[#This Row],[Acquire Date]], 1, ABS(CagrTable[[#This Row],[Sell Date]] - CagrTable[[#This Row],[Acquire Date]]))</f>
        <v>0.70833333333575865</v>
      </c>
      <c r="S62" s="72">
        <f>CagrTable[[#This Row],[Days Held]] / 30</f>
        <v>2.3611111111191956E-2</v>
      </c>
      <c r="T62" s="178">
        <v>0</v>
      </c>
      <c r="U62" s="179"/>
      <c r="V62" s="158">
        <v>46178.729166666664</v>
      </c>
      <c r="W62" s="60">
        <v>10.5</v>
      </c>
      <c r="X62" s="75"/>
      <c r="Y62" s="61" t="s">
        <v>344</v>
      </c>
      <c r="Z62" s="85" t="str">
        <f>IF(OR(CagrTable[[#This Row],[Is Closed]]="", CagrTable[[#This Row],[Is Closed]]="H"),"Y","")</f>
        <v>Y</v>
      </c>
      <c r="AA62" s="85" t="str">
        <f>IF(OR(CagrTable[[#This Row],[Position]]="LNG",CagrTable[[#This Row],[Position]]="SHRT"),"Equity","Option")</f>
        <v>Equity</v>
      </c>
      <c r="AB62" s="84" t="str">
        <f>IF(CagrTable[[#This Row],[Pricing Update Included]]="Y",IF(CagrTable[[#This Row],[Pricing Update Asset]]="Equity",CagrTable[[#This Row],[Symbol]],CagrTable[[#This Row],[Option Symbol]]),"")</f>
        <v>SMR</v>
      </c>
      <c r="AC62" s="80">
        <f>SUBTOTAL(103,CagrTable[[#This Row],[Symbol]])</f>
        <v>0</v>
      </c>
      <c r="AD62" s="80" t="b">
        <f>LEFT(CagrTable[[#This Row],[Position]],1)="L"</f>
        <v>1</v>
      </c>
      <c r="AE62" s="80" t="b">
        <f>LEFT(CagrTable[[#This Row],[Position]],1)="S"</f>
        <v>0</v>
      </c>
      <c r="AF62" s="80" t="b">
        <f>(CagrTable[[#This Row],[Position]] = "DIV")</f>
        <v>0</v>
      </c>
      <c r="AG62" s="80" t="b">
        <f>CagrTable[[#This Row],[Position]] = "PLUG"</f>
        <v>0</v>
      </c>
      <c r="AH62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0</v>
      </c>
      <c r="AI62" s="80" t="b">
        <f>CagrTable[[#This Row],[Is Closed]] &lt;&gt; "Y"</f>
        <v>1</v>
      </c>
      <c r="AJ62" s="84" t="b">
        <f>OR(CagrTable[[#This Row],[Option Type]]&lt;&gt;"",
  CagrTable[[#This Row],[Position]]="LC", CagrTable[[#This Row],[Position]]="SC",
  CagrTable[[#This Row],[Position]]="LP",CagrTable[[#This Row],[Position]]="SP"
)</f>
        <v>0</v>
      </c>
      <c r="AK62" s="84" t="b">
        <f>AND(CagrTable[[#This Row],[Option Type]] = "C", CagrTable[[#This Row],[Is Short]])</f>
        <v>0</v>
      </c>
      <c r="AL62" s="84" t="b">
        <f>AND(CagrTable[[#This Row],[Is Short Call]],CagrTable[[#This Row],[Is Naked Call]] = TRUE)</f>
        <v>0</v>
      </c>
      <c r="AM62" s="84" t="b">
        <f>AND(CagrTable[[#This Row],[Option Type]] = "P", CagrTable[[#This Row],[Is Short]])</f>
        <v>0</v>
      </c>
      <c r="AN62" s="84" t="b">
        <f>CagrTable[[#This Row],[Position]]= "LC"</f>
        <v>0</v>
      </c>
      <c r="AO62" s="169">
        <f>IF(AND(CagrTable[[#This Row],[Is Long]], NOT(CagrTable[[#This Row],[Position]]="LP")), CagrTable[[#This Row],[Qty]] * IF(CagrTable[[#This Row],[Is Option]], 100, 1), 0)</f>
        <v>800</v>
      </c>
      <c r="AP62" s="169">
        <f>IF(CagrTable[[#This Row],[Is Naked Short]], CagrTable[[#This Row],[Qty]] * -100, 0)</f>
        <v>0</v>
      </c>
      <c r="AQ62" s="169">
        <f>IF(CagrTable[[#This Row],[Is ACB Put]], CagrTable[[#This Row],[Qty]] * -100, 0)</f>
        <v>0</v>
      </c>
      <c r="AR62" s="169">
        <f>IF(AND(CagrTable[[#This Row],[Is Short]], NOT(CagrTable[[#This Row],[Is Naked Short]])), CagrTable[[#This Row],[Qty]] * IF(CagrTable[[#This Row],[Is Option]], 100, 1), 0)</f>
        <v>0</v>
      </c>
      <c r="AS62" s="169">
        <f>SUM(CagrTable[[#This Row],[Long Share Equivalent]:[Covered Short Share Equivalent]])</f>
        <v>800</v>
      </c>
      <c r="AT62" s="169">
        <f>IF(CagrTable[[#This Row],[Is Open]], SUM(CagrTable[[#This Row],[Long Share Equivalent]:[ACB Put Share Equivalent]]), 0)</f>
        <v>800</v>
      </c>
      <c r="AU62" s="166">
        <f>IF(OR(CagrTable[[#This Row],[Is Long]], CagrTable[[#This Row],[Is DIV]]), CagrTable[[#This Row],[Acquire Date]], CagrTable[[#This Row],[Sell Date]])</f>
        <v>46213.708333333336</v>
      </c>
      <c r="AV62" s="166">
        <f>IF(NOT(CagrTable[[#This Row],[Is Option]]), IF(OR(CagrTable[[#This Row],[Is Long]], CagrTable[[#This Row],[Is DIV]]), CagrTable[[#This Row],[Sell Date]], CagrTable[[#This Row],[Acquire Date]]), "")</f>
        <v>46213</v>
      </c>
      <c r="AW62" s="166" t="str">
        <f>IF(AND(CagrTable[[#This Row],[Is Option]], CagrTable[[#This Row],[Is Open]]), IF(CagrTable[[#This Row],[Is Long Call]], CagrTable[[#This Row],[Exp Date]], MIN(MockToday, CagrTable[[#This Row],[Exp Date]])), "")</f>
        <v/>
      </c>
      <c r="AX62" s="166" t="str">
        <f>IF(AND(CagrTable[[#This Row],[Is Option]], NOT(CagrTable[[#This Row],[Is Open]])), IF(CagrTable[[#This Row],[Is Long]], CagrTable[[#This Row],[Sell Date]], CagrTable[[#This Row],[Acquire Date]]), "")</f>
        <v/>
      </c>
      <c r="AY62" s="166" cm="1">
        <f t="array" ref="AY62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46213</v>
      </c>
      <c r="AZ62" s="80" t="b">
        <f>IF(AND(CagrTable[[#This Row],[Visible]], CagrTable[[#This Row],[Is Open]]), OR(CagrTable[[#This Row],[Is Long]], AND(CagrTable[[#This Row],[Is Short]], CagrTable[[#This Row],[Is Naked Call]])), FALSE)</f>
        <v>0</v>
      </c>
      <c r="BA62" s="80" t="b">
        <f>AND(CagrTable[[#This Row],[Visible]], OR(NOT(CagrTable[[#This Row],[Is PLUG]]), CagrTable[[#This Row],[Plug Type]] = "MTM"))</f>
        <v>0</v>
      </c>
      <c r="BB62" s="80" t="b">
        <f>AND(CagrTable[[#This Row],[Visible]],NOT(CagrTable[[#This Row],[Is Open]]),NOT(CagrTable[[#This Row],[Plug Type]] = "MC"),CagrTable[[#This Row],[Position]]&lt;&gt;"DIV")</f>
        <v>0</v>
      </c>
      <c r="BC62" s="193">
        <f>IF(AND(CagrTable[[#This Row],[Visible]], CagrTable[[#This Row],[Plug Type]] = "MC"), CagrTable[[#This Row],[Basis]], 0)</f>
        <v>0</v>
      </c>
      <c r="BD62" s="182">
        <f>IF(CagrTable[[#This Row],[Is PLUG]], 0, CagrTable[[#This Row],[Proceeds]] - CagrTable[[#This Row],[Basis]])</f>
        <v>-8400</v>
      </c>
      <c r="BE62" s="180">
        <f>IF(AND(OR(CagrTable[[#This Row],[Is Short Call]],CagrTable[[#This Row],[Is Short Put]])), CagrTable[[#This Row],[Proceeds]], 0)</f>
        <v>0</v>
      </c>
      <c r="BF62" s="180">
        <f>IF(AND(OR(CagrTable[[#This Row],[Is Short Call]],CagrTable[[#This Row],[Is Short Put]])), CagrTable[[#This Row],[Basis]], 0)</f>
        <v>0</v>
      </c>
      <c r="BG62" s="173">
        <f>IF(CagrTable[[#This Row],[Covered Short Share Equivalent]] &gt; 0,-1 * CagrTable[[#This Row],[Premium Input]] / CagrTable[[#This Row],[Covered Short Share Equivalent]], 0)</f>
        <v>0</v>
      </c>
      <c r="BH62" s="173">
        <f>IF(CagrTable[[#This Row],[Covered Short Share Equivalent]] &gt; 0, CagrTable[[#This Row],[Premium Offset Input]] / CagrTable[[#This Row],[Covered Short Share Equivalent]], 0)</f>
        <v>0</v>
      </c>
      <c r="BI62" s="173">
        <f>SUM(CagrTable[[#This Row],[Premium ACB]:[Premium Offset ACB]])</f>
        <v>0</v>
      </c>
      <c r="BJ62" s="173">
        <f>IF(CagrTable[[#This Row],[Is Naked Short]],-1 * CagrTable[[#This Row],[Strike Price]] - (CagrTable[[#This Row],[Proceeds]] / CagrTable[[#This Row],[Naked Short Share Equivalent]]), 0)</f>
        <v>0</v>
      </c>
      <c r="BK62" s="173">
        <f>IF(CagrTable[[#This Row],[Is Short Put]], CagrTable[[#This Row],[Strike Price]] + CagrTable[[#This Row],[Net Short Premium ACB]], 0)</f>
        <v>0</v>
      </c>
      <c r="BL62" s="173">
        <f>IF(AND(CagrTable[[#This Row],[Is Long Call]], NOT(CagrTable[[#This Row],[Is PLUG]])), -1 * CagrTable[[#This Row],[P&amp;L]]/(CagrTable[[#This Row],[Qty]] * 100), 0)</f>
        <v>0</v>
      </c>
      <c r="BM62" s="173">
        <f>IF(AND(NOT(CagrTable[[#This Row],[Is Option]]), NOT(CagrTable[[#This Row],[Is PLUG]]), OR(CagrTable[[#This Row],[Is Open]], CagrTable[[#This Row],[Is DIV]]), N(CagrTable[[#This Row],[Qty]])&lt;&gt;0), -CagrTable[[#This Row],[P&amp;L]]/CagrTable[[#This Row],[Qty]], 0)</f>
        <v>10.5</v>
      </c>
      <c r="BN62" s="173" t="b">
        <f>AND(_Total_ACB_Shares&lt;&gt;0, NOT(CagrTable[[#This Row],[Is PLUG]]))</f>
        <v>0</v>
      </c>
      <c r="BO62" s="173">
        <f>IF(OR(_Total_ACB_Shares=0, CagrTable[[#This Row],[Is PLUG]]), 0, (CagrTable[[#This Row],[ACB]] * CagrTable[[#This Row],[Qty]] * IF(CagrTable[[#This Row],[Is Option]], 100, 1))/ _Total_ACB_Shares)</f>
        <v>0</v>
      </c>
      <c r="BP62" s="184">
        <f t="shared" si="4"/>
        <v>1</v>
      </c>
      <c r="BQ62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10.5</v>
      </c>
      <c r="BR62" s="174">
        <f>CagrTable[[#This Row],[Prelim Weighted ACB]] * CagrTable[[#This Row],[ACB Sign]]</f>
        <v>0</v>
      </c>
      <c r="BS62" s="62">
        <f>CagrTable[[#This Row],[Proceeds]] - CagrTable[[#This Row],[Basis]]</f>
        <v>-8400</v>
      </c>
      <c r="BT62" s="91" t="s">
        <v>84</v>
      </c>
      <c r="BU62" s="63" t="s">
        <v>74</v>
      </c>
      <c r="BV62" s="63" t="s">
        <v>71</v>
      </c>
      <c r="BW62" s="63" t="s">
        <v>66</v>
      </c>
      <c r="BX62" s="27"/>
      <c r="BY62" s="58">
        <v>0</v>
      </c>
      <c r="BZ62" s="58">
        <v>10.5</v>
      </c>
      <c r="CA62" s="100">
        <v>46213.666666666664</v>
      </c>
      <c r="CB62" s="58">
        <v>0</v>
      </c>
      <c r="CC62" s="58">
        <v>0</v>
      </c>
      <c r="CD62" s="65">
        <v>-1</v>
      </c>
      <c r="CE62" s="83"/>
      <c r="CF62" s="66" t="s">
        <v>64</v>
      </c>
      <c r="CG62" s="58">
        <v>10.5</v>
      </c>
      <c r="CH62" s="66" t="s">
        <v>403</v>
      </c>
      <c r="CI62" s="66"/>
      <c r="CJ62" s="66"/>
      <c r="CK62" s="58"/>
      <c r="CL62" s="58"/>
      <c r="CM62" s="64"/>
      <c r="CN62" s="58"/>
      <c r="CO62" s="58"/>
      <c r="CP62" s="67"/>
      <c r="CQ62" s="82"/>
      <c r="CR62" s="58"/>
      <c r="CS62" s="58"/>
      <c r="CT62" s="66"/>
      <c r="CU62" s="73"/>
      <c r="CV62" s="181" t="s">
        <v>375</v>
      </c>
      <c r="DC62" s="19"/>
      <c r="DL62" s="13"/>
    </row>
    <row r="63" spans="1:116" ht="12.75" hidden="1" customHeight="1">
      <c r="A63" s="69" t="s">
        <v>173</v>
      </c>
      <c r="B63" s="189" t="s">
        <v>100</v>
      </c>
      <c r="C63" s="88">
        <v>1600</v>
      </c>
      <c r="D63" s="70">
        <v>2</v>
      </c>
      <c r="E63" s="1" t="str">
        <f>CONCATENATE(CagrTable[[#This Row],[Symbol]], CagrTable[[#This Row],[ID]])</f>
        <v>SMR2</v>
      </c>
      <c r="F63" s="55"/>
      <c r="G63" s="56">
        <v>46049</v>
      </c>
      <c r="H63" s="58">
        <v>0</v>
      </c>
      <c r="I63" s="57">
        <f>IF(ISNUMBER(CagrTable[[#This Row],[Qty]]),CagrTable[[#This Row],[Basis]] /CagrTable[[#This Row],[Qty]], "")</f>
        <v>0</v>
      </c>
      <c r="J63" s="56">
        <v>46215</v>
      </c>
      <c r="K63" s="58">
        <f>1600 * 9.04</f>
        <v>14463.999999999998</v>
      </c>
      <c r="L63" s="78">
        <f>IF(ISNUMBER(CagrTable[[#This Row],[Qty]]),CagrTable[[#This Row],[Proceeds]] / CagrTable[[#This Row],[Qty]], "")</f>
        <v>9.0399999999999991</v>
      </c>
      <c r="M63" s="77">
        <f>IF(CagrTable[[#This Row],[Is Open]], CagrTable[[#This Row],[Date Opened]], CagrTable[[#This Row],[Date Closed]])</f>
        <v>46215</v>
      </c>
      <c r="N63" s="101" t="s">
        <v>230</v>
      </c>
      <c r="O63"/>
      <c r="P63" s="177"/>
      <c r="Q63" s="176"/>
      <c r="R63" s="71">
        <f>IF(CagrTable[[#This Row],[Sell Date]]=CagrTable[[#This Row],[Acquire Date]], 1, ABS(CagrTable[[#This Row],[Sell Date]] - CagrTable[[#This Row],[Acquire Date]]))</f>
        <v>166</v>
      </c>
      <c r="S63" s="59">
        <f>CagrTable[[#This Row],[Days Held]] / 30</f>
        <v>5.5333333333333332</v>
      </c>
      <c r="T63" s="178"/>
      <c r="U63" s="179"/>
      <c r="V63" s="158"/>
      <c r="W63" s="60"/>
      <c r="X63" s="75"/>
      <c r="Y63" s="61"/>
      <c r="Z63" s="85" t="str">
        <f>IF(OR(CagrTable[[#This Row],[Is Closed]]="", CagrTable[[#This Row],[Is Closed]]="H"),"Y","")</f>
        <v>Y</v>
      </c>
      <c r="AA63" s="85" t="str">
        <f>IF(OR(CagrTable[[#This Row],[Position]]="LNG",CagrTable[[#This Row],[Position]]="SHRT"),"Equity","Option")</f>
        <v>Option</v>
      </c>
      <c r="AB63" s="84">
        <f>IF(CagrTable[[#This Row],[Pricing Update Included]]="Y",IF(CagrTable[[#This Row],[Pricing Update Asset]]="Equity",CagrTable[[#This Row],[Symbol]],CagrTable[[#This Row],[Option Symbol]]),"")</f>
        <v>0</v>
      </c>
      <c r="AC63" s="80">
        <f>SUBTOTAL(103,CagrTable[[#This Row],[Symbol]])</f>
        <v>0</v>
      </c>
      <c r="AD63" s="80" t="b">
        <f>LEFT(CagrTable[[#This Row],[Position]],1)="L"</f>
        <v>0</v>
      </c>
      <c r="AE63" s="80" t="b">
        <f>LEFT(CagrTable[[#This Row],[Position]],1)="S"</f>
        <v>0</v>
      </c>
      <c r="AF63" s="80" t="b">
        <f>(CagrTable[[#This Row],[Position]] = "DIV")</f>
        <v>0</v>
      </c>
      <c r="AG63" s="80" t="b">
        <f>CagrTable[[#This Row],[Position]] = "PLUG"</f>
        <v>1</v>
      </c>
      <c r="AH63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1</v>
      </c>
      <c r="AI63" s="80" t="b">
        <f>CagrTable[[#This Row],[Is Closed]] &lt;&gt; "Y"</f>
        <v>1</v>
      </c>
      <c r="AJ63" s="84" t="b">
        <f>OR(CagrTable[[#This Row],[Option Type]]&lt;&gt;"",
  CagrTable[[#This Row],[Position]]="LC", CagrTable[[#This Row],[Position]]="SC",
  CagrTable[[#This Row],[Position]]="LP",CagrTable[[#This Row],[Position]]="SP"
)</f>
        <v>0</v>
      </c>
      <c r="AK63" s="84" t="b">
        <f>AND(CagrTable[[#This Row],[Option Type]] = "C", CagrTable[[#This Row],[Is Short]])</f>
        <v>0</v>
      </c>
      <c r="AL63" s="84" t="b">
        <f>AND(CagrTable[[#This Row],[Is Short Call]],CagrTable[[#This Row],[Is Naked Call]] = TRUE)</f>
        <v>0</v>
      </c>
      <c r="AM63" s="84" t="b">
        <f>AND(CagrTable[[#This Row],[Option Type]] = "P", CagrTable[[#This Row],[Is Short]])</f>
        <v>0</v>
      </c>
      <c r="AN63" s="84" t="b">
        <f>CagrTable[[#This Row],[Position]]= "LC"</f>
        <v>0</v>
      </c>
      <c r="AO63" s="169">
        <f>IF(AND(CagrTable[[#This Row],[Is Long]], NOT(CagrTable[[#This Row],[Position]]="LP")), CagrTable[[#This Row],[Qty]] * IF(CagrTable[[#This Row],[Is Option]], 100, 1), 0)</f>
        <v>0</v>
      </c>
      <c r="AP63" s="169">
        <f>IF(CagrTable[[#This Row],[Is Naked Short]], CagrTable[[#This Row],[Qty]] * -100, 0)</f>
        <v>0</v>
      </c>
      <c r="AQ63" s="169">
        <f>IF(CagrTable[[#This Row],[Is ACB Put]], CagrTable[[#This Row],[Qty]] * -100, 0)</f>
        <v>0</v>
      </c>
      <c r="AR63" s="169">
        <f>IF(AND(CagrTable[[#This Row],[Is Short]], NOT(CagrTable[[#This Row],[Is Naked Short]])), CagrTable[[#This Row],[Qty]] * IF(CagrTable[[#This Row],[Is Option]], 100, 1), 0)</f>
        <v>0</v>
      </c>
      <c r="AS63" s="169">
        <f>SUM(CagrTable[[#This Row],[Long Share Equivalent]:[Covered Short Share Equivalent]])</f>
        <v>0</v>
      </c>
      <c r="AT63" s="169">
        <f>IF(CagrTable[[#This Row],[Is Open]], SUM(CagrTable[[#This Row],[Long Share Equivalent]:[ACB Put Share Equivalent]]), 0)</f>
        <v>0</v>
      </c>
      <c r="AU63" s="166">
        <f>IF(OR(CagrTable[[#This Row],[Is Long]], CagrTable[[#This Row],[Is DIV]]), CagrTable[[#This Row],[Acquire Date]], CagrTable[[#This Row],[Sell Date]])</f>
        <v>46215</v>
      </c>
      <c r="AV63" s="166">
        <f>IF(NOT(CagrTable[[#This Row],[Is Option]]), IF(OR(CagrTable[[#This Row],[Is Long]], CagrTable[[#This Row],[Is DIV]]), CagrTable[[#This Row],[Sell Date]], CagrTable[[#This Row],[Acquire Date]]), "")</f>
        <v>46049</v>
      </c>
      <c r="AW63" s="166" t="str">
        <f>IF(AND(CagrTable[[#This Row],[Is Option]], CagrTable[[#This Row],[Is Open]]), IF(CagrTable[[#This Row],[Is Long Call]], CagrTable[[#This Row],[Exp Date]], MIN(MockToday, CagrTable[[#This Row],[Exp Date]])), "")</f>
        <v/>
      </c>
      <c r="AX63" s="166" t="str">
        <f>IF(AND(CagrTable[[#This Row],[Is Option]], NOT(CagrTable[[#This Row],[Is Open]])), IF(CagrTable[[#This Row],[Is Long]], CagrTable[[#This Row],[Sell Date]], CagrTable[[#This Row],[Acquire Date]]), "")</f>
        <v/>
      </c>
      <c r="AY63" s="166" cm="1">
        <f t="array" ref="AY63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46049</v>
      </c>
      <c r="AZ63" s="80" t="b">
        <f>IF(AND(CagrTable[[#This Row],[Visible]], CagrTable[[#This Row],[Is Open]]), OR(CagrTable[[#This Row],[Is Long]], AND(CagrTable[[#This Row],[Is Short]], CagrTable[[#This Row],[Is Naked Call]])), FALSE)</f>
        <v>0</v>
      </c>
      <c r="BA63" s="80" t="b">
        <f>AND(CagrTable[[#This Row],[Visible]], OR(NOT(CagrTable[[#This Row],[Is PLUG]]), CagrTable[[#This Row],[Plug Type]] = "MTM"))</f>
        <v>0</v>
      </c>
      <c r="BB63" s="80" t="b">
        <f>AND(CagrTable[[#This Row],[Visible]],NOT(CagrTable[[#This Row],[Is Open]]),NOT(CagrTable[[#This Row],[Plug Type]] = "MC"),CagrTable[[#This Row],[Position]]&lt;&gt;"DIV")</f>
        <v>0</v>
      </c>
      <c r="BC63" s="193">
        <f>IF(AND(CagrTable[[#This Row],[Visible]], CagrTable[[#This Row],[Plug Type]] = "MC"), CagrTable[[#This Row],[Basis]], 0)</f>
        <v>0</v>
      </c>
      <c r="BD63" s="182">
        <f>IF(CagrTable[[#This Row],[Is PLUG]], 0, CagrTable[[#This Row],[Proceeds]] - CagrTable[[#This Row],[Basis]])</f>
        <v>0</v>
      </c>
      <c r="BE63" s="180">
        <f>IF(AND(OR(CagrTable[[#This Row],[Is Short Call]],CagrTable[[#This Row],[Is Short Put]])), CagrTable[[#This Row],[Proceeds]], 0)</f>
        <v>0</v>
      </c>
      <c r="BF63" s="180">
        <f>IF(AND(OR(CagrTable[[#This Row],[Is Short Call]],CagrTable[[#This Row],[Is Short Put]])), CagrTable[[#This Row],[Basis]], 0)</f>
        <v>0</v>
      </c>
      <c r="BG63" s="173">
        <f>IF(CagrTable[[#This Row],[Covered Short Share Equivalent]] &gt; 0,-1 * CagrTable[[#This Row],[Premium Input]] / CagrTable[[#This Row],[Covered Short Share Equivalent]], 0)</f>
        <v>0</v>
      </c>
      <c r="BH63" s="173">
        <f>IF(CagrTable[[#This Row],[Covered Short Share Equivalent]] &gt; 0, CagrTable[[#This Row],[Premium Offset Input]] / CagrTable[[#This Row],[Covered Short Share Equivalent]], 0)</f>
        <v>0</v>
      </c>
      <c r="BI63" s="173">
        <f>SUM(CagrTable[[#This Row],[Premium ACB]:[Premium Offset ACB]])</f>
        <v>0</v>
      </c>
      <c r="BJ63" s="173">
        <f>IF(CagrTable[[#This Row],[Is Naked Short]],-1 * CagrTable[[#This Row],[Strike Price]] - (CagrTable[[#This Row],[Proceeds]] / CagrTable[[#This Row],[Naked Short Share Equivalent]]), 0)</f>
        <v>0</v>
      </c>
      <c r="BK63" s="173">
        <f>IF(CagrTable[[#This Row],[Is Short Put]], CagrTable[[#This Row],[Strike Price]] + CagrTable[[#This Row],[Net Short Premium ACB]], 0)</f>
        <v>0</v>
      </c>
      <c r="BL63" s="173">
        <f>IF(AND(CagrTable[[#This Row],[Is Long Call]], NOT(CagrTable[[#This Row],[Is PLUG]])), -1 * CagrTable[[#This Row],[P&amp;L]]/(CagrTable[[#This Row],[Qty]] * 100), 0)</f>
        <v>0</v>
      </c>
      <c r="BM63" s="173">
        <f>IF(AND(NOT(CagrTable[[#This Row],[Is Option]]), NOT(CagrTable[[#This Row],[Is PLUG]]), OR(CagrTable[[#This Row],[Is Open]], CagrTable[[#This Row],[Is DIV]]), N(CagrTable[[#This Row],[Qty]])&lt;&gt;0), -CagrTable[[#This Row],[P&amp;L]]/CagrTable[[#This Row],[Qty]], 0)</f>
        <v>0</v>
      </c>
      <c r="BN63" s="173" t="b">
        <f>AND(_Total_ACB_Shares&lt;&gt;0, NOT(CagrTable[[#This Row],[Is PLUG]]))</f>
        <v>0</v>
      </c>
      <c r="BO63" s="173">
        <f>IF(OR(_Total_ACB_Shares=0, CagrTable[[#This Row],[Is PLUG]]), 0, (CagrTable[[#This Row],[ACB]] * CagrTable[[#This Row],[Qty]] * IF(CagrTable[[#This Row],[Is Option]], 100, 1))/ _Total_ACB_Shares)</f>
        <v>0</v>
      </c>
      <c r="BP63" s="184">
        <f t="shared" si="4"/>
        <v>1</v>
      </c>
      <c r="BQ63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0</v>
      </c>
      <c r="BR63" s="174">
        <f>CagrTable[[#This Row],[Prelim Weighted ACB]] * CagrTable[[#This Row],[ACB Sign]]</f>
        <v>0</v>
      </c>
      <c r="BS63" s="62">
        <f>CagrTable[[#This Row],[Proceeds]] - CagrTable[[#This Row],[Basis]]</f>
        <v>14463.999999999998</v>
      </c>
      <c r="BT63" s="91" t="s">
        <v>100</v>
      </c>
      <c r="BU63" s="63"/>
      <c r="BV63" s="63"/>
      <c r="BW63" s="63"/>
      <c r="BX63" s="27"/>
      <c r="BY63" s="58"/>
      <c r="BZ63" s="58"/>
      <c r="CA63" s="100"/>
      <c r="CB63" s="58"/>
      <c r="CC63" s="58"/>
      <c r="CD63" s="65"/>
      <c r="CE63" s="82"/>
      <c r="CF63" s="66"/>
      <c r="CG63" s="58"/>
      <c r="CH63" s="66"/>
      <c r="CI63" s="66"/>
      <c r="CJ63" s="66"/>
      <c r="CK63" s="58"/>
      <c r="CL63" s="58"/>
      <c r="CM63" s="64"/>
      <c r="CN63" s="58"/>
      <c r="CO63" s="58"/>
      <c r="CP63" s="67"/>
      <c r="CQ63" s="82"/>
      <c r="CR63" s="58"/>
      <c r="CS63" s="58"/>
      <c r="CT63" s="66"/>
      <c r="CU63" s="68"/>
      <c r="CV63" s="181" t="s">
        <v>277</v>
      </c>
      <c r="DC63" s="19"/>
      <c r="DL63" s="13"/>
    </row>
    <row r="64" spans="1:116" ht="12.75" hidden="1" customHeight="1">
      <c r="A64" s="69" t="s">
        <v>173</v>
      </c>
      <c r="B64" s="189" t="s">
        <v>100</v>
      </c>
      <c r="C64" s="88">
        <v>8</v>
      </c>
      <c r="D64" s="70">
        <v>2</v>
      </c>
      <c r="E64" s="1" t="str">
        <f>CONCATENATE(CagrTable[[#This Row],[Symbol]], CagrTable[[#This Row],[ID]])</f>
        <v>SMR2</v>
      </c>
      <c r="F64" s="55"/>
      <c r="G64" s="56">
        <v>46049</v>
      </c>
      <c r="H64" s="58">
        <v>0</v>
      </c>
      <c r="I64" s="57">
        <f>IF(ISNUMBER(CagrTable[[#This Row],[Qty]]),CagrTable[[#This Row],[Basis]] /CagrTable[[#This Row],[Qty]], "")</f>
        <v>0</v>
      </c>
      <c r="J64" s="56">
        <v>46222</v>
      </c>
      <c r="K64" s="58">
        <v>0</v>
      </c>
      <c r="L64" s="78">
        <f>IF(ISNUMBER(CagrTable[[#This Row],[Qty]]),CagrTable[[#This Row],[Proceeds]] / CagrTable[[#This Row],[Qty]], "")</f>
        <v>0</v>
      </c>
      <c r="M64" s="77">
        <f>IF(CagrTable[[#This Row],[Is Open]], CagrTable[[#This Row],[Date Opened]], CagrTable[[#This Row],[Date Closed]])</f>
        <v>46222</v>
      </c>
      <c r="N64" s="101" t="s">
        <v>247</v>
      </c>
      <c r="O64"/>
      <c r="P64" s="177"/>
      <c r="Q64" s="176"/>
      <c r="R64" s="71">
        <f>IF(CagrTable[[#This Row],[Sell Date]]=CagrTable[[#This Row],[Acquire Date]], 1, ABS(CagrTable[[#This Row],[Sell Date]] - CagrTable[[#This Row],[Acquire Date]]))</f>
        <v>173</v>
      </c>
      <c r="S64" s="72">
        <f>CagrTable[[#This Row],[Days Held]] / 30</f>
        <v>5.7666666666666666</v>
      </c>
      <c r="T64" s="178"/>
      <c r="U64" s="179"/>
      <c r="V64" s="158"/>
      <c r="W64" s="60"/>
      <c r="X64" s="75"/>
      <c r="Y64" s="61"/>
      <c r="Z64" s="85" t="str">
        <f>IF(OR(CagrTable[[#This Row],[Is Closed]]="", CagrTable[[#This Row],[Is Closed]]="H"),"Y","")</f>
        <v>Y</v>
      </c>
      <c r="AA64" s="85" t="str">
        <f>IF(OR(CagrTable[[#This Row],[Position]]="LNG",CagrTable[[#This Row],[Position]]="SHRT"),"Equity","Option")</f>
        <v>Option</v>
      </c>
      <c r="AB64" s="84">
        <f>IF(CagrTable[[#This Row],[Pricing Update Included]]="Y",IF(CagrTable[[#This Row],[Pricing Update Asset]]="Equity",CagrTable[[#This Row],[Symbol]],CagrTable[[#This Row],[Option Symbol]]),"")</f>
        <v>0</v>
      </c>
      <c r="AC64" s="80">
        <f>SUBTOTAL(103,CagrTable[[#This Row],[Symbol]])</f>
        <v>0</v>
      </c>
      <c r="AD64" s="80" t="b">
        <f>LEFT(CagrTable[[#This Row],[Position]],1)="L"</f>
        <v>0</v>
      </c>
      <c r="AE64" s="80" t="b">
        <f>LEFT(CagrTable[[#This Row],[Position]],1)="S"</f>
        <v>0</v>
      </c>
      <c r="AF64" s="80" t="b">
        <f>(CagrTable[[#This Row],[Position]] = "DIV")</f>
        <v>0</v>
      </c>
      <c r="AG64" s="80" t="b">
        <f>CagrTable[[#This Row],[Position]] = "PLUG"</f>
        <v>1</v>
      </c>
      <c r="AH64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1</v>
      </c>
      <c r="AI64" s="80" t="b">
        <f>CagrTable[[#This Row],[Is Closed]] &lt;&gt; "Y"</f>
        <v>1</v>
      </c>
      <c r="AJ64" s="84" t="b">
        <f>OR(CagrTable[[#This Row],[Option Type]]&lt;&gt;"",
  CagrTable[[#This Row],[Position]]="LC", CagrTable[[#This Row],[Position]]="SC",
  CagrTable[[#This Row],[Position]]="LP",CagrTable[[#This Row],[Position]]="SP"
)</f>
        <v>0</v>
      </c>
      <c r="AK64" s="84" t="b">
        <f>AND(CagrTable[[#This Row],[Option Type]] = "C", CagrTable[[#This Row],[Is Short]])</f>
        <v>0</v>
      </c>
      <c r="AL64" s="84" t="b">
        <f>AND(CagrTable[[#This Row],[Is Short Call]],CagrTable[[#This Row],[Is Naked Call]] = TRUE)</f>
        <v>0</v>
      </c>
      <c r="AM64" s="84" t="b">
        <f>AND(CagrTable[[#This Row],[Option Type]] = "P", CagrTable[[#This Row],[Is Short]])</f>
        <v>0</v>
      </c>
      <c r="AN64" s="84" t="b">
        <f>CagrTable[[#This Row],[Position]]= "LC"</f>
        <v>0</v>
      </c>
      <c r="AO64" s="169">
        <f>IF(AND(CagrTable[[#This Row],[Is Long]], NOT(CagrTable[[#This Row],[Position]]="LP")), CagrTable[[#This Row],[Qty]] * IF(CagrTable[[#This Row],[Is Option]], 100, 1), 0)</f>
        <v>0</v>
      </c>
      <c r="AP64" s="169">
        <f>IF(CagrTable[[#This Row],[Is Naked Short]], CagrTable[[#This Row],[Qty]] * -100, 0)</f>
        <v>0</v>
      </c>
      <c r="AQ64" s="169">
        <f>IF(CagrTable[[#This Row],[Is ACB Put]], CagrTable[[#This Row],[Qty]] * -100, 0)</f>
        <v>0</v>
      </c>
      <c r="AR64" s="169">
        <f>IF(AND(CagrTable[[#This Row],[Is Short]], NOT(CagrTable[[#This Row],[Is Naked Short]])), CagrTable[[#This Row],[Qty]] * IF(CagrTable[[#This Row],[Is Option]], 100, 1), 0)</f>
        <v>0</v>
      </c>
      <c r="AS64" s="169">
        <f>SUM(CagrTable[[#This Row],[Long Share Equivalent]:[Covered Short Share Equivalent]])</f>
        <v>0</v>
      </c>
      <c r="AT64" s="169">
        <f>IF(CagrTable[[#This Row],[Is Open]], SUM(CagrTable[[#This Row],[Long Share Equivalent]:[ACB Put Share Equivalent]]), 0)</f>
        <v>0</v>
      </c>
      <c r="AU64" s="166">
        <f>IF(OR(CagrTable[[#This Row],[Is Long]], CagrTable[[#This Row],[Is DIV]]), CagrTable[[#This Row],[Acquire Date]], CagrTable[[#This Row],[Sell Date]])</f>
        <v>46222</v>
      </c>
      <c r="AV64" s="166">
        <f>IF(NOT(CagrTable[[#This Row],[Is Option]]), IF(OR(CagrTable[[#This Row],[Is Long]], CagrTable[[#This Row],[Is DIV]]), CagrTable[[#This Row],[Sell Date]], CagrTable[[#This Row],[Acquire Date]]), "")</f>
        <v>46049</v>
      </c>
      <c r="AW64" s="166" t="str">
        <f>IF(AND(CagrTable[[#This Row],[Is Option]], CagrTable[[#This Row],[Is Open]]), IF(CagrTable[[#This Row],[Is Long Call]], CagrTable[[#This Row],[Exp Date]], MIN(MockToday, CagrTable[[#This Row],[Exp Date]])), "")</f>
        <v/>
      </c>
      <c r="AX64" s="166" t="str">
        <f>IF(AND(CagrTable[[#This Row],[Is Option]], NOT(CagrTable[[#This Row],[Is Open]])), IF(CagrTable[[#This Row],[Is Long]], CagrTable[[#This Row],[Sell Date]], CagrTable[[#This Row],[Acquire Date]]), "")</f>
        <v/>
      </c>
      <c r="AY64" s="166" cm="1">
        <f t="array" ref="AY64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46049</v>
      </c>
      <c r="AZ64" s="80" t="b">
        <f>IF(AND(CagrTable[[#This Row],[Visible]], CagrTable[[#This Row],[Is Open]]), OR(CagrTable[[#This Row],[Is Long]], AND(CagrTable[[#This Row],[Is Short]], CagrTable[[#This Row],[Is Naked Call]])), FALSE)</f>
        <v>0</v>
      </c>
      <c r="BA64" s="80" t="b">
        <f>AND(CagrTable[[#This Row],[Visible]], OR(NOT(CagrTable[[#This Row],[Is PLUG]]), CagrTable[[#This Row],[Plug Type]] = "MTM"))</f>
        <v>0</v>
      </c>
      <c r="BB64" s="80" t="b">
        <f>AND(CagrTable[[#This Row],[Visible]],NOT(CagrTable[[#This Row],[Is Open]]),NOT(CagrTable[[#This Row],[Plug Type]] = "MC"),CagrTable[[#This Row],[Position]]&lt;&gt;"DIV")</f>
        <v>0</v>
      </c>
      <c r="BC64" s="193">
        <f>IF(AND(CagrTable[[#This Row],[Visible]], CagrTable[[#This Row],[Plug Type]] = "MC"), CagrTable[[#This Row],[Basis]], 0)</f>
        <v>0</v>
      </c>
      <c r="BD64" s="182">
        <f>IF(CagrTable[[#This Row],[Is PLUG]], 0, CagrTable[[#This Row],[Proceeds]] - CagrTable[[#This Row],[Basis]])</f>
        <v>0</v>
      </c>
      <c r="BE64" s="180">
        <f>IF(AND(OR(CagrTable[[#This Row],[Is Short Call]],CagrTable[[#This Row],[Is Short Put]])), CagrTable[[#This Row],[Proceeds]], 0)</f>
        <v>0</v>
      </c>
      <c r="BF64" s="180">
        <f>IF(AND(OR(CagrTable[[#This Row],[Is Short Call]],CagrTable[[#This Row],[Is Short Put]])), CagrTable[[#This Row],[Basis]], 0)</f>
        <v>0</v>
      </c>
      <c r="BG64" s="173">
        <f>IF(CagrTable[[#This Row],[Covered Short Share Equivalent]] &gt; 0,-1 * CagrTable[[#This Row],[Premium Input]] / CagrTable[[#This Row],[Covered Short Share Equivalent]], 0)</f>
        <v>0</v>
      </c>
      <c r="BH64" s="173">
        <f>IF(CagrTable[[#This Row],[Covered Short Share Equivalent]] &gt; 0, CagrTable[[#This Row],[Premium Offset Input]] / CagrTable[[#This Row],[Covered Short Share Equivalent]], 0)</f>
        <v>0</v>
      </c>
      <c r="BI64" s="173">
        <f>SUM(CagrTable[[#This Row],[Premium ACB]:[Premium Offset ACB]])</f>
        <v>0</v>
      </c>
      <c r="BJ64" s="173">
        <f>IF(CagrTable[[#This Row],[Is Naked Short]],-1 * CagrTable[[#This Row],[Strike Price]] - (CagrTable[[#This Row],[Proceeds]] / CagrTable[[#This Row],[Naked Short Share Equivalent]]), 0)</f>
        <v>0</v>
      </c>
      <c r="BK64" s="173">
        <f>IF(CagrTable[[#This Row],[Is Short Put]], CagrTable[[#This Row],[Strike Price]] + CagrTable[[#This Row],[Net Short Premium ACB]], 0)</f>
        <v>0</v>
      </c>
      <c r="BL64" s="173">
        <f>IF(AND(CagrTable[[#This Row],[Is Long Call]], NOT(CagrTable[[#This Row],[Is PLUG]])), -1 * CagrTable[[#This Row],[P&amp;L]]/(CagrTable[[#This Row],[Qty]] * 100), 0)</f>
        <v>0</v>
      </c>
      <c r="BM64" s="173">
        <f>IF(AND(NOT(CagrTable[[#This Row],[Is Option]]), NOT(CagrTable[[#This Row],[Is PLUG]]), OR(CagrTable[[#This Row],[Is Open]], CagrTable[[#This Row],[Is DIV]]), N(CagrTable[[#This Row],[Qty]])&lt;&gt;0), -CagrTable[[#This Row],[P&amp;L]]/CagrTable[[#This Row],[Qty]], 0)</f>
        <v>0</v>
      </c>
      <c r="BN64" s="173" t="b">
        <f>AND(_Total_ACB_Shares&lt;&gt;0, NOT(CagrTable[[#This Row],[Is PLUG]]))</f>
        <v>0</v>
      </c>
      <c r="BO64" s="173">
        <f>IF(OR(_Total_ACB_Shares=0, CagrTable[[#This Row],[Is PLUG]]), 0, (CagrTable[[#This Row],[ACB]] * CagrTable[[#This Row],[Qty]] * IF(CagrTable[[#This Row],[Is Option]], 100, 1))/ _Total_ACB_Shares)</f>
        <v>0</v>
      </c>
      <c r="BP64" s="184">
        <f t="shared" si="4"/>
        <v>1</v>
      </c>
      <c r="BQ64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0</v>
      </c>
      <c r="BR64" s="174">
        <f>CagrTable[[#This Row],[Prelim Weighted ACB]] * CagrTable[[#This Row],[ACB Sign]]</f>
        <v>0</v>
      </c>
      <c r="BS64" s="62">
        <f>CagrTable[[#This Row],[Proceeds]] - CagrTable[[#This Row],[Basis]]</f>
        <v>0</v>
      </c>
      <c r="BT64" s="91" t="s">
        <v>100</v>
      </c>
      <c r="BU64" s="63"/>
      <c r="BV64" s="63"/>
      <c r="BW64" s="63"/>
      <c r="BX64" s="27"/>
      <c r="BY64" s="58"/>
      <c r="BZ64" s="58"/>
      <c r="CA64" s="100"/>
      <c r="CB64" s="58"/>
      <c r="CC64" s="58"/>
      <c r="CD64" s="65"/>
      <c r="CE64" s="83"/>
      <c r="CF64" s="66"/>
      <c r="CG64" s="58"/>
      <c r="CH64" s="66"/>
      <c r="CI64" s="66"/>
      <c r="CJ64" s="66"/>
      <c r="CK64" s="58"/>
      <c r="CL64" s="58"/>
      <c r="CM64" s="64"/>
      <c r="CN64" s="58"/>
      <c r="CO64" s="58"/>
      <c r="CP64" s="67"/>
      <c r="CQ64" s="82"/>
      <c r="CR64" s="58"/>
      <c r="CS64" s="58"/>
      <c r="CT64" s="66"/>
      <c r="CU64" s="73"/>
      <c r="CV64" s="181" t="s">
        <v>343</v>
      </c>
      <c r="DC64" s="19"/>
      <c r="DL64" s="13"/>
    </row>
    <row r="65" spans="1:116" ht="12.75" hidden="1" customHeight="1">
      <c r="A65" s="69" t="s">
        <v>274</v>
      </c>
      <c r="B65" s="189" t="s">
        <v>78</v>
      </c>
      <c r="C65" s="88">
        <v>10</v>
      </c>
      <c r="D65" s="70">
        <v>3</v>
      </c>
      <c r="E65" s="1" t="str">
        <f>CONCATENATE(CagrTable[[#This Row],[Symbol]], CagrTable[[#This Row],[ID]])</f>
        <v>UUUU3</v>
      </c>
      <c r="F65" s="55" t="s">
        <v>61</v>
      </c>
      <c r="G65" s="56">
        <v>46191.404293981483</v>
      </c>
      <c r="H65" s="58">
        <v>826.72</v>
      </c>
      <c r="I65" s="57">
        <f>IF(ISNUMBER(CagrTable[[#This Row],[Qty]]),CagrTable[[#This Row],[Basis]] /CagrTable[[#This Row],[Qty]], "")</f>
        <v>82.671999999999997</v>
      </c>
      <c r="J65" s="56">
        <v>46155.420381944445</v>
      </c>
      <c r="K65" s="58">
        <v>853.23</v>
      </c>
      <c r="L65" s="78">
        <f>IF(ISNUMBER(CagrTable[[#This Row],[Qty]]),CagrTable[[#This Row],[Proceeds]] / CagrTable[[#This Row],[Qty]], "")</f>
        <v>85.323000000000008</v>
      </c>
      <c r="M65" s="77">
        <f>IF(CagrTable[[#This Row],[Is Open]], CagrTable[[#This Row],[Date Opened]], CagrTable[[#This Row],[Date Closed]])</f>
        <v>46191.404293981483</v>
      </c>
      <c r="N65" s="101"/>
      <c r="O65"/>
      <c r="P65" s="177"/>
      <c r="Q65" s="176"/>
      <c r="R65" s="71">
        <f>IF(CagrTable[[#This Row],[Sell Date]]=CagrTable[[#This Row],[Acquire Date]], 1, ABS(CagrTable[[#This Row],[Sell Date]] - CagrTable[[#This Row],[Acquire Date]]))</f>
        <v>35.983912037037953</v>
      </c>
      <c r="S65" s="72">
        <f>CagrTable[[#This Row],[Days Held]] / 30</f>
        <v>1.1994637345679318</v>
      </c>
      <c r="T65" s="178">
        <v>6.77</v>
      </c>
      <c r="U65" s="179">
        <v>6.72</v>
      </c>
      <c r="V65" s="158">
        <v>46191.729166666664</v>
      </c>
      <c r="W65" s="60">
        <v>17</v>
      </c>
      <c r="X65" s="75" t="s">
        <v>83</v>
      </c>
      <c r="Y65" s="61" t="s">
        <v>328</v>
      </c>
      <c r="Z65" s="85" t="str">
        <f>IF(OR(CagrTable[[#This Row],[Is Closed]]="", CagrTable[[#This Row],[Is Closed]]="H"),"Y","")</f>
        <v/>
      </c>
      <c r="AA65" s="85" t="str">
        <f>IF(OR(CagrTable[[#This Row],[Position]]="LNG",CagrTable[[#This Row],[Position]]="SHRT"),"Equity","Option")</f>
        <v>Option</v>
      </c>
      <c r="AB65" s="84" t="str">
        <f>IF(CagrTable[[#This Row],[Pricing Update Included]]="Y",IF(CagrTable[[#This Row],[Pricing Update Asset]]="Equity",CagrTable[[#This Row],[Symbol]],CagrTable[[#This Row],[Option Symbol]]),"")</f>
        <v/>
      </c>
      <c r="AC65" s="80">
        <f>SUBTOTAL(103,CagrTable[[#This Row],[Symbol]])</f>
        <v>0</v>
      </c>
      <c r="AD65" s="80" t="b">
        <f>LEFT(CagrTable[[#This Row],[Position]],1)="L"</f>
        <v>0</v>
      </c>
      <c r="AE65" s="80" t="b">
        <f>LEFT(CagrTable[[#This Row],[Position]],1)="S"</f>
        <v>1</v>
      </c>
      <c r="AF65" s="80" t="b">
        <f>(CagrTable[[#This Row],[Position]] = "DIV")</f>
        <v>0</v>
      </c>
      <c r="AG65" s="80" t="b">
        <f>CagrTable[[#This Row],[Position]] = "PLUG"</f>
        <v>0</v>
      </c>
      <c r="AH65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0</v>
      </c>
      <c r="AI65" s="80" t="b">
        <f>CagrTable[[#This Row],[Is Closed]] &lt;&gt; "Y"</f>
        <v>0</v>
      </c>
      <c r="AJ65" s="84" t="b">
        <f>OR(CagrTable[[#This Row],[Option Type]]&lt;&gt;"",
  CagrTable[[#This Row],[Position]]="LC", CagrTable[[#This Row],[Position]]="SC",
  CagrTable[[#This Row],[Position]]="LP",CagrTable[[#This Row],[Position]]="SP"
)</f>
        <v>1</v>
      </c>
      <c r="AK65" s="84" t="b">
        <f>AND(CagrTable[[#This Row],[Option Type]] = "C", CagrTable[[#This Row],[Is Short]])</f>
        <v>0</v>
      </c>
      <c r="AL65" s="84" t="b">
        <f>AND(CagrTable[[#This Row],[Is Short Call]],CagrTable[[#This Row],[Is Naked Call]] = TRUE)</f>
        <v>0</v>
      </c>
      <c r="AM65" s="84" t="b">
        <f>AND(CagrTable[[#This Row],[Option Type]] = "P", CagrTable[[#This Row],[Is Short]])</f>
        <v>1</v>
      </c>
      <c r="AN65" s="84" t="b">
        <f>CagrTable[[#This Row],[Position]]= "LC"</f>
        <v>0</v>
      </c>
      <c r="AO65" s="169">
        <f>IF(AND(CagrTable[[#This Row],[Is Long]], NOT(CagrTable[[#This Row],[Position]]="LP")), CagrTable[[#This Row],[Qty]] * IF(CagrTable[[#This Row],[Is Option]], 100, 1), 0)</f>
        <v>0</v>
      </c>
      <c r="AP65" s="169">
        <f>IF(CagrTable[[#This Row],[Is Naked Short]], CagrTable[[#This Row],[Qty]] * -100, 0)</f>
        <v>0</v>
      </c>
      <c r="AQ65" s="169">
        <f>IF(CagrTable[[#This Row],[Is ACB Put]], CagrTable[[#This Row],[Qty]] * -100, 0)</f>
        <v>0</v>
      </c>
      <c r="AR65" s="169">
        <f>IF(AND(CagrTable[[#This Row],[Is Short]], NOT(CagrTable[[#This Row],[Is Naked Short]])), CagrTable[[#This Row],[Qty]] * IF(CagrTable[[#This Row],[Is Option]], 100, 1), 0)</f>
        <v>1000</v>
      </c>
      <c r="AS65" s="169">
        <f>SUM(CagrTable[[#This Row],[Long Share Equivalent]:[Covered Short Share Equivalent]])</f>
        <v>1000</v>
      </c>
      <c r="AT65" s="169">
        <f>IF(CagrTable[[#This Row],[Is Open]], SUM(CagrTable[[#This Row],[Long Share Equivalent]:[ACB Put Share Equivalent]]), 0)</f>
        <v>0</v>
      </c>
      <c r="AU65" s="166">
        <f>IF(OR(CagrTable[[#This Row],[Is Long]], CagrTable[[#This Row],[Is DIV]]), CagrTable[[#This Row],[Acquire Date]], CagrTable[[#This Row],[Sell Date]])</f>
        <v>46155.420381944445</v>
      </c>
      <c r="AV65" s="166" t="str">
        <f>IF(NOT(CagrTable[[#This Row],[Is Option]]), IF(OR(CagrTable[[#This Row],[Is Long]], CagrTable[[#This Row],[Is DIV]]), CagrTable[[#This Row],[Sell Date]], CagrTable[[#This Row],[Acquire Date]]), "")</f>
        <v/>
      </c>
      <c r="AW65" s="166" t="str">
        <f>IF(AND(CagrTable[[#This Row],[Is Option]], CagrTable[[#This Row],[Is Open]]), IF(CagrTable[[#This Row],[Is Long Call]], CagrTable[[#This Row],[Exp Date]], MIN(MockToday, CagrTable[[#This Row],[Exp Date]])), "")</f>
        <v/>
      </c>
      <c r="AX65" s="166">
        <f>IF(AND(CagrTable[[#This Row],[Is Option]], NOT(CagrTable[[#This Row],[Is Open]])), IF(CagrTable[[#This Row],[Is Long]], CagrTable[[#This Row],[Sell Date]], CagrTable[[#This Row],[Acquire Date]]), "")</f>
        <v>46191.404293981483</v>
      </c>
      <c r="AY65" s="166" cm="1">
        <f t="array" ref="AY65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46191.404293981483</v>
      </c>
      <c r="AZ65" s="80" t="b">
        <f>IF(AND(CagrTable[[#This Row],[Visible]], CagrTable[[#This Row],[Is Open]]), OR(CagrTable[[#This Row],[Is Long]], AND(CagrTable[[#This Row],[Is Short]], CagrTable[[#This Row],[Is Naked Call]])), FALSE)</f>
        <v>0</v>
      </c>
      <c r="BA65" s="80" t="b">
        <f>AND(CagrTable[[#This Row],[Visible]], OR(NOT(CagrTable[[#This Row],[Is PLUG]]), CagrTable[[#This Row],[Plug Type]] = "MTM"))</f>
        <v>0</v>
      </c>
      <c r="BB65" s="80" t="b">
        <f>AND(CagrTable[[#This Row],[Visible]],NOT(CagrTable[[#This Row],[Is Open]]),NOT(CagrTable[[#This Row],[Plug Type]] = "MC"),CagrTable[[#This Row],[Position]]&lt;&gt;"DIV")</f>
        <v>0</v>
      </c>
      <c r="BC65" s="193">
        <f>IF(AND(CagrTable[[#This Row],[Visible]], CagrTable[[#This Row],[Plug Type]] = "MC"), CagrTable[[#This Row],[Basis]], 0)</f>
        <v>0</v>
      </c>
      <c r="BD65" s="182">
        <f>IF(CagrTable[[#This Row],[Is PLUG]], 0, CagrTable[[#This Row],[Proceeds]] - CagrTable[[#This Row],[Basis]])</f>
        <v>26.509999999999991</v>
      </c>
      <c r="BE65" s="180">
        <f>IF(AND(OR(CagrTable[[#This Row],[Is Short Call]],CagrTable[[#This Row],[Is Short Put]])), CagrTable[[#This Row],[Proceeds]], 0)</f>
        <v>853.23</v>
      </c>
      <c r="BF65" s="180">
        <f>IF(AND(OR(CagrTable[[#This Row],[Is Short Call]],CagrTable[[#This Row],[Is Short Put]])), CagrTable[[#This Row],[Basis]], 0)</f>
        <v>826.72</v>
      </c>
      <c r="BG65" s="173">
        <f>IF(CagrTable[[#This Row],[Covered Short Share Equivalent]] &gt; 0,-1 * CagrTable[[#This Row],[Premium Input]] / CagrTable[[#This Row],[Covered Short Share Equivalent]], 0)</f>
        <v>-0.85323000000000004</v>
      </c>
      <c r="BH65" s="173">
        <f>IF(CagrTable[[#This Row],[Covered Short Share Equivalent]] &gt; 0, CagrTable[[#This Row],[Premium Offset Input]] / CagrTable[[#This Row],[Covered Short Share Equivalent]], 0)</f>
        <v>0.82672000000000001</v>
      </c>
      <c r="BI65" s="173">
        <f>SUM(CagrTable[[#This Row],[Premium ACB]:[Premium Offset ACB]])</f>
        <v>-2.6510000000000034E-2</v>
      </c>
      <c r="BJ65" s="173">
        <f>IF(CagrTable[[#This Row],[Is Naked Short]],-1 * CagrTable[[#This Row],[Strike Price]] - (CagrTable[[#This Row],[Proceeds]] / CagrTable[[#This Row],[Naked Short Share Equivalent]]), 0)</f>
        <v>0</v>
      </c>
      <c r="BK65" s="173">
        <f>IF(CagrTable[[#This Row],[Is Short Put]], CagrTable[[#This Row],[Strike Price]] + CagrTable[[#This Row],[Net Short Premium ACB]], 0)</f>
        <v>16.973489999999998</v>
      </c>
      <c r="BL65" s="173">
        <f>IF(AND(CagrTable[[#This Row],[Is Long Call]], NOT(CagrTable[[#This Row],[Is PLUG]])), -1 * CagrTable[[#This Row],[P&amp;L]]/(CagrTable[[#This Row],[Qty]] * 100), 0)</f>
        <v>0</v>
      </c>
      <c r="BM65" s="173">
        <f>IF(AND(NOT(CagrTable[[#This Row],[Is Option]]), NOT(CagrTable[[#This Row],[Is PLUG]]), OR(CagrTable[[#This Row],[Is Open]], CagrTable[[#This Row],[Is DIV]]), N(CagrTable[[#This Row],[Qty]])&lt;&gt;0), -CagrTable[[#This Row],[P&amp;L]]/CagrTable[[#This Row],[Qty]], 0)</f>
        <v>0</v>
      </c>
      <c r="BN65" s="173" t="b">
        <f>AND(_Total_ACB_Shares&lt;&gt;0, NOT(CagrTable[[#This Row],[Is PLUG]]))</f>
        <v>0</v>
      </c>
      <c r="BO65" s="173">
        <f>IF(OR(_Total_ACB_Shares=0, CagrTable[[#This Row],[Is PLUG]]), 0, (CagrTable[[#This Row],[ACB]] * CagrTable[[#This Row],[Qty]] * IF(CagrTable[[#This Row],[Is Option]], 100, 1))/ _Total_ACB_Shares)</f>
        <v>0</v>
      </c>
      <c r="BP65" s="184">
        <f t="shared" ref="BP65:BP72" si="5">IF(_Total_ACB_Shares &lt; 0, -1, 1)</f>
        <v>1</v>
      </c>
      <c r="BQ65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-2.6510000000000034E-2</v>
      </c>
      <c r="BR65" s="174">
        <f>CagrTable[[#This Row],[Prelim Weighted ACB]] * CagrTable[[#This Row],[ACB Sign]]</f>
        <v>0</v>
      </c>
      <c r="BS65" s="62">
        <f>CagrTable[[#This Row],[Proceeds]] - CagrTable[[#This Row],[Basis]]</f>
        <v>26.509999999999991</v>
      </c>
      <c r="BT65" s="91" t="s">
        <v>79</v>
      </c>
      <c r="BU65" s="63" t="s">
        <v>62</v>
      </c>
      <c r="BV65" s="63" t="s">
        <v>71</v>
      </c>
      <c r="BW65" s="63" t="s">
        <v>85</v>
      </c>
      <c r="BX65" s="27"/>
      <c r="BY65" s="58">
        <v>19.95</v>
      </c>
      <c r="BZ65" s="58">
        <v>0.86</v>
      </c>
      <c r="CA65" s="100">
        <v>46155.420381944445</v>
      </c>
      <c r="CB65" s="58">
        <v>0.9</v>
      </c>
      <c r="CC65" s="58">
        <v>0.7</v>
      </c>
      <c r="CD65" s="65">
        <v>79</v>
      </c>
      <c r="CE65" s="83"/>
      <c r="CF65" s="66" t="s">
        <v>73</v>
      </c>
      <c r="CG65" s="58"/>
      <c r="CH65" s="66" t="s">
        <v>329</v>
      </c>
      <c r="CI65" s="66" t="s">
        <v>65</v>
      </c>
      <c r="CJ65" s="66"/>
      <c r="CK65" s="58">
        <v>16.45</v>
      </c>
      <c r="CL65" s="58">
        <v>0.82</v>
      </c>
      <c r="CM65" s="64">
        <v>46191.404293981483</v>
      </c>
      <c r="CN65" s="58">
        <v>0.95</v>
      </c>
      <c r="CO65" s="58">
        <v>0.14000000000000001</v>
      </c>
      <c r="CP65" s="67">
        <v>16</v>
      </c>
      <c r="CQ65" s="82"/>
      <c r="CR65" s="58" t="s">
        <v>64</v>
      </c>
      <c r="CS65" s="58">
        <v>1.07</v>
      </c>
      <c r="CT65" s="66" t="s">
        <v>356</v>
      </c>
      <c r="CU65" s="68" t="s">
        <v>88</v>
      </c>
      <c r="CV65" s="181" t="s">
        <v>330</v>
      </c>
      <c r="CW65" s="1"/>
      <c r="CX65" s="1" t="s">
        <v>82</v>
      </c>
      <c r="DC65" s="19"/>
      <c r="DL65" s="13"/>
    </row>
    <row r="66" spans="1:116" ht="12.75" hidden="1" customHeight="1">
      <c r="A66" s="69" t="s">
        <v>274</v>
      </c>
      <c r="B66" s="189" t="s">
        <v>60</v>
      </c>
      <c r="C66" s="88">
        <v>1000</v>
      </c>
      <c r="D66" s="70">
        <v>3</v>
      </c>
      <c r="E66" s="1" t="str">
        <f>CONCATENATE(CagrTable[[#This Row],[Symbol]], CagrTable[[#This Row],[ID]])</f>
        <v>UUUU3</v>
      </c>
      <c r="F66" s="55"/>
      <c r="G66" s="56">
        <v>46218.729166666664</v>
      </c>
      <c r="H66" s="58">
        <v>16000</v>
      </c>
      <c r="I66" s="57">
        <f>IF(ISNUMBER(CagrTable[[#This Row],[Qty]]),CagrTable[[#This Row],[Basis]] /CagrTable[[#This Row],[Qty]], "")</f>
        <v>16</v>
      </c>
      <c r="J66" s="56">
        <v>46220.729166666664</v>
      </c>
      <c r="K66" s="58">
        <v>0</v>
      </c>
      <c r="L66" s="78">
        <f>IF(ISNUMBER(CagrTable[[#This Row],[Qty]]),CagrTable[[#This Row],[Proceeds]] / CagrTable[[#This Row],[Qty]], "")</f>
        <v>0</v>
      </c>
      <c r="M66" s="77">
        <f>IF(CagrTable[[#This Row],[Is Open]], CagrTable[[#This Row],[Date Opened]], CagrTable[[#This Row],[Date Closed]])</f>
        <v>46218.729166666664</v>
      </c>
      <c r="N66" s="101"/>
      <c r="O66"/>
      <c r="P66" s="177"/>
      <c r="Q66" s="176"/>
      <c r="R66" s="71">
        <f>IF(CagrTable[[#This Row],[Sell Date]]=CagrTable[[#This Row],[Acquire Date]], 1, ABS(CagrTable[[#This Row],[Sell Date]] - CagrTable[[#This Row],[Acquire Date]]))</f>
        <v>2</v>
      </c>
      <c r="S66" s="72">
        <f>CagrTable[[#This Row],[Days Held]] / 30</f>
        <v>6.6666666666666666E-2</v>
      </c>
      <c r="T66" s="178">
        <v>0</v>
      </c>
      <c r="U66" s="179"/>
      <c r="V66" s="158">
        <v>46220.729166666664</v>
      </c>
      <c r="W66" s="60">
        <v>16</v>
      </c>
      <c r="X66" s="75"/>
      <c r="Y66" s="61" t="s">
        <v>334</v>
      </c>
      <c r="Z66" s="85" t="str">
        <f>IF(OR(CagrTable[[#This Row],[Is Closed]]="", CagrTable[[#This Row],[Is Closed]]="H"),"Y","")</f>
        <v>Y</v>
      </c>
      <c r="AA66" s="85" t="str">
        <f>IF(OR(CagrTable[[#This Row],[Position]]="LNG",CagrTable[[#This Row],[Position]]="SHRT"),"Equity","Option")</f>
        <v>Equity</v>
      </c>
      <c r="AB66" s="84" t="str">
        <f>IF(CagrTable[[#This Row],[Pricing Update Included]]="Y",IF(CagrTable[[#This Row],[Pricing Update Asset]]="Equity",CagrTable[[#This Row],[Symbol]],CagrTable[[#This Row],[Option Symbol]]),"")</f>
        <v>UUUU</v>
      </c>
      <c r="AC66" s="80">
        <f>SUBTOTAL(103,CagrTable[[#This Row],[Symbol]])</f>
        <v>0</v>
      </c>
      <c r="AD66" s="80" t="b">
        <f>LEFT(CagrTable[[#This Row],[Position]],1)="L"</f>
        <v>1</v>
      </c>
      <c r="AE66" s="80" t="b">
        <f>LEFT(CagrTable[[#This Row],[Position]],1)="S"</f>
        <v>0</v>
      </c>
      <c r="AF66" s="80" t="b">
        <f>(CagrTable[[#This Row],[Position]] = "DIV")</f>
        <v>0</v>
      </c>
      <c r="AG66" s="80" t="b">
        <f>CagrTable[[#This Row],[Position]] = "PLUG"</f>
        <v>0</v>
      </c>
      <c r="AH66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0</v>
      </c>
      <c r="AI66" s="80" t="b">
        <f>CagrTable[[#This Row],[Is Closed]] &lt;&gt; "Y"</f>
        <v>1</v>
      </c>
      <c r="AJ66" s="84" t="b">
        <f>OR(CagrTable[[#This Row],[Option Type]]&lt;&gt;"",
  CagrTable[[#This Row],[Position]]="LC", CagrTable[[#This Row],[Position]]="SC",
  CagrTable[[#This Row],[Position]]="LP",CagrTable[[#This Row],[Position]]="SP"
)</f>
        <v>0</v>
      </c>
      <c r="AK66" s="84" t="b">
        <f>AND(CagrTable[[#This Row],[Option Type]] = "C", CagrTable[[#This Row],[Is Short]])</f>
        <v>0</v>
      </c>
      <c r="AL66" s="84" t="b">
        <f>AND(CagrTable[[#This Row],[Is Short Call]],CagrTable[[#This Row],[Is Naked Call]] = TRUE)</f>
        <v>0</v>
      </c>
      <c r="AM66" s="84" t="b">
        <f>AND(CagrTable[[#This Row],[Option Type]] = "P", CagrTable[[#This Row],[Is Short]])</f>
        <v>0</v>
      </c>
      <c r="AN66" s="84" t="b">
        <f>CagrTable[[#This Row],[Position]]= "LC"</f>
        <v>0</v>
      </c>
      <c r="AO66" s="169">
        <f>IF(AND(CagrTable[[#This Row],[Is Long]], NOT(CagrTable[[#This Row],[Position]]="LP")), CagrTable[[#This Row],[Qty]] * IF(CagrTable[[#This Row],[Is Option]], 100, 1), 0)</f>
        <v>1000</v>
      </c>
      <c r="AP66" s="169">
        <f>IF(CagrTable[[#This Row],[Is Naked Short]], CagrTable[[#This Row],[Qty]] * -100, 0)</f>
        <v>0</v>
      </c>
      <c r="AQ66" s="169">
        <f>IF(CagrTable[[#This Row],[Is ACB Put]], CagrTable[[#This Row],[Qty]] * -100, 0)</f>
        <v>0</v>
      </c>
      <c r="AR66" s="169">
        <f>IF(AND(CagrTable[[#This Row],[Is Short]], NOT(CagrTable[[#This Row],[Is Naked Short]])), CagrTable[[#This Row],[Qty]] * IF(CagrTable[[#This Row],[Is Option]], 100, 1), 0)</f>
        <v>0</v>
      </c>
      <c r="AS66" s="169">
        <f>SUM(CagrTable[[#This Row],[Long Share Equivalent]:[Covered Short Share Equivalent]])</f>
        <v>1000</v>
      </c>
      <c r="AT66" s="169">
        <f>IF(CagrTable[[#This Row],[Is Open]], SUM(CagrTable[[#This Row],[Long Share Equivalent]:[ACB Put Share Equivalent]]), 0)</f>
        <v>1000</v>
      </c>
      <c r="AU66" s="166">
        <f>IF(OR(CagrTable[[#This Row],[Is Long]], CagrTable[[#This Row],[Is DIV]]), CagrTable[[#This Row],[Acquire Date]], CagrTable[[#This Row],[Sell Date]])</f>
        <v>46218.729166666664</v>
      </c>
      <c r="AV66" s="166">
        <f>IF(NOT(CagrTable[[#This Row],[Is Option]]), IF(OR(CagrTable[[#This Row],[Is Long]], CagrTable[[#This Row],[Is DIV]]), CagrTable[[#This Row],[Sell Date]], CagrTable[[#This Row],[Acquire Date]]), "")</f>
        <v>46220.729166666664</v>
      </c>
      <c r="AW66" s="166" t="str">
        <f>IF(AND(CagrTable[[#This Row],[Is Option]], CagrTable[[#This Row],[Is Open]]), IF(CagrTable[[#This Row],[Is Long Call]], CagrTable[[#This Row],[Exp Date]], MIN(MockToday, CagrTable[[#This Row],[Exp Date]])), "")</f>
        <v/>
      </c>
      <c r="AX66" s="166" t="str">
        <f>IF(AND(CagrTable[[#This Row],[Is Option]], NOT(CagrTable[[#This Row],[Is Open]])), IF(CagrTable[[#This Row],[Is Long]], CagrTable[[#This Row],[Sell Date]], CagrTable[[#This Row],[Acquire Date]]), "")</f>
        <v/>
      </c>
      <c r="AY66" s="166" cm="1">
        <f t="array" ref="AY66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46220.729166666664</v>
      </c>
      <c r="AZ66" s="80" t="b">
        <f>IF(AND(CagrTable[[#This Row],[Visible]], CagrTable[[#This Row],[Is Open]]), OR(CagrTable[[#This Row],[Is Long]], AND(CagrTable[[#This Row],[Is Short]], CagrTable[[#This Row],[Is Naked Call]])), FALSE)</f>
        <v>0</v>
      </c>
      <c r="BA66" s="80" t="b">
        <f>AND(CagrTable[[#This Row],[Visible]], OR(NOT(CagrTable[[#This Row],[Is PLUG]]), CagrTable[[#This Row],[Plug Type]] = "MTM"))</f>
        <v>0</v>
      </c>
      <c r="BB66" s="80" t="b">
        <f>AND(CagrTable[[#This Row],[Visible]],NOT(CagrTable[[#This Row],[Is Open]]),NOT(CagrTable[[#This Row],[Plug Type]] = "MC"),CagrTable[[#This Row],[Position]]&lt;&gt;"DIV")</f>
        <v>0</v>
      </c>
      <c r="BC66" s="193">
        <f>IF(AND(CagrTable[[#This Row],[Visible]], CagrTable[[#This Row],[Plug Type]] = "MC"), CagrTable[[#This Row],[Basis]], 0)</f>
        <v>0</v>
      </c>
      <c r="BD66" s="182">
        <f>IF(CagrTable[[#This Row],[Is PLUG]], 0, CagrTable[[#This Row],[Proceeds]] - CagrTable[[#This Row],[Basis]])</f>
        <v>-16000</v>
      </c>
      <c r="BE66" s="180">
        <f>IF(AND(OR(CagrTable[[#This Row],[Is Short Call]],CagrTable[[#This Row],[Is Short Put]])), CagrTable[[#This Row],[Proceeds]], 0)</f>
        <v>0</v>
      </c>
      <c r="BF66" s="180">
        <f>IF(AND(OR(CagrTable[[#This Row],[Is Short Call]],CagrTable[[#This Row],[Is Short Put]])), CagrTable[[#This Row],[Basis]], 0)</f>
        <v>0</v>
      </c>
      <c r="BG66" s="173">
        <f>IF(CagrTable[[#This Row],[Covered Short Share Equivalent]] &gt; 0,-1 * CagrTable[[#This Row],[Premium Input]] / CagrTable[[#This Row],[Covered Short Share Equivalent]], 0)</f>
        <v>0</v>
      </c>
      <c r="BH66" s="173">
        <f>IF(CagrTable[[#This Row],[Covered Short Share Equivalent]] &gt; 0, CagrTable[[#This Row],[Premium Offset Input]] / CagrTable[[#This Row],[Covered Short Share Equivalent]], 0)</f>
        <v>0</v>
      </c>
      <c r="BI66" s="173">
        <f>SUM(CagrTable[[#This Row],[Premium ACB]:[Premium Offset ACB]])</f>
        <v>0</v>
      </c>
      <c r="BJ66" s="173">
        <f>IF(CagrTable[[#This Row],[Is Naked Short]],-1 * CagrTable[[#This Row],[Strike Price]] - (CagrTable[[#This Row],[Proceeds]] / CagrTable[[#This Row],[Naked Short Share Equivalent]]), 0)</f>
        <v>0</v>
      </c>
      <c r="BK66" s="173">
        <f>IF(CagrTable[[#This Row],[Is Short Put]], CagrTable[[#This Row],[Strike Price]] + CagrTable[[#This Row],[Net Short Premium ACB]], 0)</f>
        <v>0</v>
      </c>
      <c r="BL66" s="173">
        <f>IF(AND(CagrTable[[#This Row],[Is Long Call]], NOT(CagrTable[[#This Row],[Is PLUG]])), -1 * CagrTable[[#This Row],[P&amp;L]]/(CagrTable[[#This Row],[Qty]] * 100), 0)</f>
        <v>0</v>
      </c>
      <c r="BM66" s="173">
        <f>IF(AND(NOT(CagrTable[[#This Row],[Is Option]]), NOT(CagrTable[[#This Row],[Is PLUG]]), OR(CagrTable[[#This Row],[Is Open]], CagrTable[[#This Row],[Is DIV]]), N(CagrTable[[#This Row],[Qty]])&lt;&gt;0), -CagrTable[[#This Row],[P&amp;L]]/CagrTable[[#This Row],[Qty]], 0)</f>
        <v>16</v>
      </c>
      <c r="BN66" s="173" t="b">
        <f>AND(_Total_ACB_Shares&lt;&gt;0, NOT(CagrTable[[#This Row],[Is PLUG]]))</f>
        <v>0</v>
      </c>
      <c r="BO66" s="173">
        <f>IF(OR(_Total_ACB_Shares=0, CagrTable[[#This Row],[Is PLUG]]), 0, (CagrTable[[#This Row],[ACB]] * CagrTable[[#This Row],[Qty]] * IF(CagrTable[[#This Row],[Is Option]], 100, 1))/ _Total_ACB_Shares)</f>
        <v>0</v>
      </c>
      <c r="BP66" s="184">
        <f t="shared" si="5"/>
        <v>1</v>
      </c>
      <c r="BQ66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16</v>
      </c>
      <c r="BR66" s="174">
        <f>CagrTable[[#This Row],[Prelim Weighted ACB]] * CagrTable[[#This Row],[ACB Sign]]</f>
        <v>0</v>
      </c>
      <c r="BS66" s="62">
        <f>CagrTable[[#This Row],[Proceeds]] - CagrTable[[#This Row],[Basis]]</f>
        <v>-16000</v>
      </c>
      <c r="BT66" s="91" t="s">
        <v>84</v>
      </c>
      <c r="BU66" s="63" t="s">
        <v>74</v>
      </c>
      <c r="BV66" s="63" t="s">
        <v>71</v>
      </c>
      <c r="BW66" s="63" t="s">
        <v>66</v>
      </c>
      <c r="BX66" s="27"/>
      <c r="BY66" s="58">
        <v>0</v>
      </c>
      <c r="BZ66" s="58">
        <v>16</v>
      </c>
      <c r="CA66" s="100">
        <v>46218.729166666664</v>
      </c>
      <c r="CB66" s="58">
        <v>0</v>
      </c>
      <c r="CC66" s="58">
        <v>0</v>
      </c>
      <c r="CD66" s="65">
        <v>-1</v>
      </c>
      <c r="CE66" s="83"/>
      <c r="CF66" s="66" t="s">
        <v>73</v>
      </c>
      <c r="CG66" s="58"/>
      <c r="CH66" s="66" t="s">
        <v>415</v>
      </c>
      <c r="CI66" s="66" t="s">
        <v>65</v>
      </c>
      <c r="CJ66" s="66"/>
      <c r="CK66" s="58"/>
      <c r="CL66" s="58"/>
      <c r="CM66" s="64"/>
      <c r="CN66" s="58"/>
      <c r="CO66" s="58"/>
      <c r="CP66" s="67"/>
      <c r="CQ66" s="82"/>
      <c r="CR66" s="58"/>
      <c r="CS66" s="58"/>
      <c r="CT66" s="66"/>
      <c r="CU66" s="73"/>
      <c r="CV66" s="181" t="s">
        <v>414</v>
      </c>
      <c r="CW66" s="1"/>
      <c r="CX66" s="1"/>
      <c r="DC66" s="19"/>
      <c r="DL66" s="13"/>
    </row>
    <row r="67" spans="1:116" ht="12.75" hidden="1" customHeight="1">
      <c r="A67" s="69" t="s">
        <v>274</v>
      </c>
      <c r="B67" s="189" t="s">
        <v>60</v>
      </c>
      <c r="C67" s="88">
        <v>1000</v>
      </c>
      <c r="D67" s="70">
        <v>3</v>
      </c>
      <c r="E67" s="1" t="str">
        <f>CONCATENATE(CagrTable[[#This Row],[Symbol]], CagrTable[[#This Row],[ID]])</f>
        <v>UUUU3</v>
      </c>
      <c r="F67" s="55" t="s">
        <v>61</v>
      </c>
      <c r="G67" s="56">
        <v>46218.708333333336</v>
      </c>
      <c r="H67" s="58">
        <v>17000</v>
      </c>
      <c r="I67" s="57">
        <f>IF(ISNUMBER(CagrTable[[#This Row],[Qty]]),CagrTable[[#This Row],[Basis]] /CagrTable[[#This Row],[Qty]], "")</f>
        <v>17</v>
      </c>
      <c r="J67" s="56">
        <v>46220</v>
      </c>
      <c r="K67" s="58">
        <v>0</v>
      </c>
      <c r="L67" s="78">
        <f>IF(ISNUMBER(CagrTable[[#This Row],[Qty]]),CagrTable[[#This Row],[Proceeds]] / CagrTable[[#This Row],[Qty]], "")</f>
        <v>0</v>
      </c>
      <c r="M67" s="77">
        <f>IF(CagrTable[[#This Row],[Is Open]], CagrTable[[#This Row],[Date Opened]], CagrTable[[#This Row],[Date Closed]])</f>
        <v>46220</v>
      </c>
      <c r="N67" s="101"/>
      <c r="O67"/>
      <c r="P67" s="177"/>
      <c r="Q67" s="176"/>
      <c r="R67" s="71">
        <f>IF(CagrTable[[#This Row],[Sell Date]]=CagrTable[[#This Row],[Acquire Date]], 1, ABS(CagrTable[[#This Row],[Sell Date]] - CagrTable[[#This Row],[Acquire Date]]))</f>
        <v>1.2916666666642413</v>
      </c>
      <c r="S67" s="72">
        <f>CagrTable[[#This Row],[Days Held]] / 30</f>
        <v>4.305555555547471E-2</v>
      </c>
      <c r="T67" s="178">
        <v>0</v>
      </c>
      <c r="U67" s="179"/>
      <c r="V67" s="158">
        <v>46191.729166666664</v>
      </c>
      <c r="W67" s="60">
        <v>17</v>
      </c>
      <c r="X67" s="75"/>
      <c r="Y67" s="61" t="s">
        <v>328</v>
      </c>
      <c r="Z67" s="85" t="str">
        <f>IF(OR(CagrTable[[#This Row],[Is Closed]]="", CagrTable[[#This Row],[Is Closed]]="H"),"Y","")</f>
        <v/>
      </c>
      <c r="AA67" s="85" t="str">
        <f>IF(OR(CagrTable[[#This Row],[Position]]="LNG",CagrTable[[#This Row],[Position]]="SHRT"),"Equity","Option")</f>
        <v>Equity</v>
      </c>
      <c r="AB67" s="84" t="str">
        <f>IF(CagrTable[[#This Row],[Pricing Update Included]]="Y",IF(CagrTable[[#This Row],[Pricing Update Asset]]="Equity",CagrTable[[#This Row],[Symbol]],CagrTable[[#This Row],[Option Symbol]]),"")</f>
        <v/>
      </c>
      <c r="AC67" s="80">
        <f>SUBTOTAL(103,CagrTable[[#This Row],[Symbol]])</f>
        <v>0</v>
      </c>
      <c r="AD67" s="80" t="b">
        <f>LEFT(CagrTable[[#This Row],[Position]],1)="L"</f>
        <v>1</v>
      </c>
      <c r="AE67" s="80" t="b">
        <f>LEFT(CagrTable[[#This Row],[Position]],1)="S"</f>
        <v>0</v>
      </c>
      <c r="AF67" s="80" t="b">
        <f>(CagrTable[[#This Row],[Position]] = "DIV")</f>
        <v>0</v>
      </c>
      <c r="AG67" s="80" t="b">
        <f>CagrTable[[#This Row],[Position]] = "PLUG"</f>
        <v>0</v>
      </c>
      <c r="AH67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0</v>
      </c>
      <c r="AI67" s="80" t="b">
        <f>CagrTable[[#This Row],[Is Closed]] &lt;&gt; "Y"</f>
        <v>0</v>
      </c>
      <c r="AJ67" s="84" t="b">
        <f>OR(CagrTable[[#This Row],[Option Type]]&lt;&gt;"",
  CagrTable[[#This Row],[Position]]="LC", CagrTable[[#This Row],[Position]]="SC",
  CagrTable[[#This Row],[Position]]="LP",CagrTable[[#This Row],[Position]]="SP"
)</f>
        <v>0</v>
      </c>
      <c r="AK67" s="84" t="b">
        <f>AND(CagrTable[[#This Row],[Option Type]] = "C", CagrTable[[#This Row],[Is Short]])</f>
        <v>0</v>
      </c>
      <c r="AL67" s="84" t="b">
        <f>AND(CagrTable[[#This Row],[Is Short Call]],CagrTable[[#This Row],[Is Naked Call]] = TRUE)</f>
        <v>0</v>
      </c>
      <c r="AM67" s="84" t="b">
        <f>AND(CagrTable[[#This Row],[Option Type]] = "P", CagrTable[[#This Row],[Is Short]])</f>
        <v>0</v>
      </c>
      <c r="AN67" s="84" t="b">
        <f>CagrTable[[#This Row],[Position]]= "LC"</f>
        <v>0</v>
      </c>
      <c r="AO67" s="169">
        <f>IF(AND(CagrTable[[#This Row],[Is Long]], NOT(CagrTable[[#This Row],[Position]]="LP")), CagrTable[[#This Row],[Qty]] * IF(CagrTable[[#This Row],[Is Option]], 100, 1), 0)</f>
        <v>1000</v>
      </c>
      <c r="AP67" s="169">
        <f>IF(CagrTable[[#This Row],[Is Naked Short]], CagrTable[[#This Row],[Qty]] * -100, 0)</f>
        <v>0</v>
      </c>
      <c r="AQ67" s="169">
        <f>IF(CagrTable[[#This Row],[Is ACB Put]], CagrTable[[#This Row],[Qty]] * -100, 0)</f>
        <v>0</v>
      </c>
      <c r="AR67" s="169">
        <f>IF(AND(CagrTable[[#This Row],[Is Short]], NOT(CagrTable[[#This Row],[Is Naked Short]])), CagrTable[[#This Row],[Qty]] * IF(CagrTable[[#This Row],[Is Option]], 100, 1), 0)</f>
        <v>0</v>
      </c>
      <c r="AS67" s="169">
        <f>SUM(CagrTable[[#This Row],[Long Share Equivalent]:[Covered Short Share Equivalent]])</f>
        <v>1000</v>
      </c>
      <c r="AT67" s="169">
        <f>IF(CagrTable[[#This Row],[Is Open]], SUM(CagrTable[[#This Row],[Long Share Equivalent]:[ACB Put Share Equivalent]]), 0)</f>
        <v>0</v>
      </c>
      <c r="AU67" s="166">
        <f>IF(OR(CagrTable[[#This Row],[Is Long]], CagrTable[[#This Row],[Is DIV]]), CagrTable[[#This Row],[Acquire Date]], CagrTable[[#This Row],[Sell Date]])</f>
        <v>46218.708333333336</v>
      </c>
      <c r="AV67" s="166">
        <f>IF(NOT(CagrTable[[#This Row],[Is Option]]), IF(OR(CagrTable[[#This Row],[Is Long]], CagrTable[[#This Row],[Is DIV]]), CagrTable[[#This Row],[Sell Date]], CagrTable[[#This Row],[Acquire Date]]), "")</f>
        <v>46220</v>
      </c>
      <c r="AW67" s="166" t="str">
        <f>IF(AND(CagrTable[[#This Row],[Is Option]], CagrTable[[#This Row],[Is Open]]), IF(CagrTable[[#This Row],[Is Long Call]], CagrTable[[#This Row],[Exp Date]], MIN(MockToday, CagrTable[[#This Row],[Exp Date]])), "")</f>
        <v/>
      </c>
      <c r="AX67" s="166" t="str">
        <f>IF(AND(CagrTable[[#This Row],[Is Option]], NOT(CagrTable[[#This Row],[Is Open]])), IF(CagrTable[[#This Row],[Is Long]], CagrTable[[#This Row],[Sell Date]], CagrTable[[#This Row],[Acquire Date]]), "")</f>
        <v/>
      </c>
      <c r="AY67" s="166" cm="1">
        <f t="array" ref="AY67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46220</v>
      </c>
      <c r="AZ67" s="80" t="b">
        <f>IF(AND(CagrTable[[#This Row],[Visible]], CagrTable[[#This Row],[Is Open]]), OR(CagrTable[[#This Row],[Is Long]], AND(CagrTable[[#This Row],[Is Short]], CagrTable[[#This Row],[Is Naked Call]])), FALSE)</f>
        <v>0</v>
      </c>
      <c r="BA67" s="80" t="b">
        <f>AND(CagrTable[[#This Row],[Visible]], OR(NOT(CagrTable[[#This Row],[Is PLUG]]), CagrTable[[#This Row],[Plug Type]] = "MTM"))</f>
        <v>0</v>
      </c>
      <c r="BB67" s="80" t="b">
        <f>AND(CagrTable[[#This Row],[Visible]],NOT(CagrTable[[#This Row],[Is Open]]),NOT(CagrTable[[#This Row],[Plug Type]] = "MC"),CagrTable[[#This Row],[Position]]&lt;&gt;"DIV")</f>
        <v>0</v>
      </c>
      <c r="BC67" s="193">
        <f>IF(AND(CagrTable[[#This Row],[Visible]], CagrTable[[#This Row],[Plug Type]] = "MC"), CagrTable[[#This Row],[Basis]], 0)</f>
        <v>0</v>
      </c>
      <c r="BD67" s="182">
        <f>IF(CagrTable[[#This Row],[Is PLUG]], 0, CagrTable[[#This Row],[Proceeds]] - CagrTable[[#This Row],[Basis]])</f>
        <v>-17000</v>
      </c>
      <c r="BE67" s="180">
        <f>IF(AND(OR(CagrTable[[#This Row],[Is Short Call]],CagrTable[[#This Row],[Is Short Put]])), CagrTable[[#This Row],[Proceeds]], 0)</f>
        <v>0</v>
      </c>
      <c r="BF67" s="180">
        <f>IF(AND(OR(CagrTable[[#This Row],[Is Short Call]],CagrTable[[#This Row],[Is Short Put]])), CagrTable[[#This Row],[Basis]], 0)</f>
        <v>0</v>
      </c>
      <c r="BG67" s="173">
        <f>IF(CagrTable[[#This Row],[Covered Short Share Equivalent]] &gt; 0,-1 * CagrTable[[#This Row],[Premium Input]] / CagrTable[[#This Row],[Covered Short Share Equivalent]], 0)</f>
        <v>0</v>
      </c>
      <c r="BH67" s="173">
        <f>IF(CagrTable[[#This Row],[Covered Short Share Equivalent]] &gt; 0, CagrTable[[#This Row],[Premium Offset Input]] / CagrTable[[#This Row],[Covered Short Share Equivalent]], 0)</f>
        <v>0</v>
      </c>
      <c r="BI67" s="173">
        <f>SUM(CagrTable[[#This Row],[Premium ACB]:[Premium Offset ACB]])</f>
        <v>0</v>
      </c>
      <c r="BJ67" s="173">
        <f>IF(CagrTable[[#This Row],[Is Naked Short]],-1 * CagrTable[[#This Row],[Strike Price]] - (CagrTable[[#This Row],[Proceeds]] / CagrTable[[#This Row],[Naked Short Share Equivalent]]), 0)</f>
        <v>0</v>
      </c>
      <c r="BK67" s="173">
        <f>IF(CagrTable[[#This Row],[Is Short Put]], CagrTable[[#This Row],[Strike Price]] + CagrTable[[#This Row],[Net Short Premium ACB]], 0)</f>
        <v>0</v>
      </c>
      <c r="BL67" s="173">
        <f>IF(AND(CagrTable[[#This Row],[Is Long Call]], NOT(CagrTable[[#This Row],[Is PLUG]])), -1 * CagrTable[[#This Row],[P&amp;L]]/(CagrTable[[#This Row],[Qty]] * 100), 0)</f>
        <v>0</v>
      </c>
      <c r="BM67" s="173">
        <f>IF(AND(NOT(CagrTable[[#This Row],[Is Option]]), NOT(CagrTable[[#This Row],[Is PLUG]]), OR(CagrTable[[#This Row],[Is Open]], CagrTable[[#This Row],[Is DIV]]), N(CagrTable[[#This Row],[Qty]])&lt;&gt;0), -CagrTable[[#This Row],[P&amp;L]]/CagrTable[[#This Row],[Qty]], 0)</f>
        <v>0</v>
      </c>
      <c r="BN67" s="173" t="b">
        <f>AND(_Total_ACB_Shares&lt;&gt;0, NOT(CagrTable[[#This Row],[Is PLUG]]))</f>
        <v>0</v>
      </c>
      <c r="BO67" s="173">
        <f>IF(OR(_Total_ACB_Shares=0, CagrTable[[#This Row],[Is PLUG]]), 0, (CagrTable[[#This Row],[ACB]] * CagrTable[[#This Row],[Qty]] * IF(CagrTable[[#This Row],[Is Option]], 100, 1))/ _Total_ACB_Shares)</f>
        <v>0</v>
      </c>
      <c r="BP67" s="184">
        <f t="shared" si="5"/>
        <v>1</v>
      </c>
      <c r="BQ67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0</v>
      </c>
      <c r="BR67" s="174">
        <f>CagrTable[[#This Row],[Prelim Weighted ACB]] * CagrTable[[#This Row],[ACB Sign]]</f>
        <v>0</v>
      </c>
      <c r="BS67" s="62">
        <f>CagrTable[[#This Row],[Proceeds]] - CagrTable[[#This Row],[Basis]]</f>
        <v>-17000</v>
      </c>
      <c r="BT67" s="91" t="s">
        <v>84</v>
      </c>
      <c r="BU67" s="63" t="s">
        <v>74</v>
      </c>
      <c r="BV67" s="63" t="s">
        <v>71</v>
      </c>
      <c r="BW67" s="63" t="s">
        <v>66</v>
      </c>
      <c r="BX67" s="66" t="s">
        <v>415</v>
      </c>
      <c r="BY67" s="58">
        <v>0</v>
      </c>
      <c r="BZ67" s="58">
        <v>17</v>
      </c>
      <c r="CA67" s="100">
        <v>46218.708333333336</v>
      </c>
      <c r="CB67" s="58">
        <v>0</v>
      </c>
      <c r="CC67" s="58">
        <v>0</v>
      </c>
      <c r="CD67" s="65">
        <v>-1</v>
      </c>
      <c r="CE67" s="83"/>
      <c r="CF67" s="66" t="s">
        <v>73</v>
      </c>
      <c r="CG67" s="58"/>
      <c r="CH67" s="66" t="s">
        <v>416</v>
      </c>
      <c r="CI67" s="66" t="s">
        <v>65</v>
      </c>
      <c r="CJ67" s="66"/>
      <c r="CK67" s="58"/>
      <c r="CL67" s="58"/>
      <c r="CM67" s="64"/>
      <c r="CN67" s="58"/>
      <c r="CO67" s="58"/>
      <c r="CP67" s="67"/>
      <c r="CQ67" s="82"/>
      <c r="CR67" s="58"/>
      <c r="CS67" s="58"/>
      <c r="CT67" s="66"/>
      <c r="CU67" s="73"/>
      <c r="CV67" s="181" t="s">
        <v>417</v>
      </c>
      <c r="CW67" s="1"/>
      <c r="CX67" s="1"/>
      <c r="DC67" s="19"/>
      <c r="DL67" s="13"/>
    </row>
    <row r="68" spans="1:116" ht="12.75" hidden="1" customHeight="1">
      <c r="A68" s="69" t="s">
        <v>274</v>
      </c>
      <c r="B68" s="189" t="s">
        <v>78</v>
      </c>
      <c r="C68" s="88">
        <v>10</v>
      </c>
      <c r="D68" s="70">
        <v>3</v>
      </c>
      <c r="E68" s="1" t="str">
        <f>CONCATENATE(CagrTable[[#This Row],[Symbol]], CagrTable[[#This Row],[ID]])</f>
        <v>UUUU3</v>
      </c>
      <c r="F68" s="55" t="s">
        <v>61</v>
      </c>
      <c r="G68" s="56">
        <v>46220.729166666664</v>
      </c>
      <c r="H68" s="58">
        <v>0</v>
      </c>
      <c r="I68" s="57">
        <f>IF(ISNUMBER(CagrTable[[#This Row],[Qty]]),CagrTable[[#This Row],[Basis]] /CagrTable[[#This Row],[Qty]], "")</f>
        <v>0</v>
      </c>
      <c r="J68" s="56">
        <v>46169.538449074076</v>
      </c>
      <c r="K68" s="58">
        <v>1133.24</v>
      </c>
      <c r="L68" s="78">
        <f>IF(ISNUMBER(CagrTable[[#This Row],[Qty]]),CagrTable[[#This Row],[Proceeds]] / CagrTable[[#This Row],[Qty]], "")</f>
        <v>113.324</v>
      </c>
      <c r="M68" s="77">
        <f>IF(CagrTable[[#This Row],[Is Open]], CagrTable[[#This Row],[Date Opened]], CagrTable[[#This Row],[Date Closed]])</f>
        <v>46220.729166666664</v>
      </c>
      <c r="N68" s="101"/>
      <c r="O68"/>
      <c r="P68" s="177"/>
      <c r="Q68" s="176"/>
      <c r="R68" s="71">
        <f>IF(CagrTable[[#This Row],[Sell Date]]=CagrTable[[#This Row],[Acquire Date]], 1, ABS(CagrTable[[#This Row],[Sell Date]] - CagrTable[[#This Row],[Acquire Date]]))</f>
        <v>51.190717592588044</v>
      </c>
      <c r="S68" s="72">
        <f>CagrTable[[#This Row],[Days Held]] / 30</f>
        <v>1.7063572530862681</v>
      </c>
      <c r="T68" s="178">
        <v>6.76</v>
      </c>
      <c r="U68" s="179"/>
      <c r="V68" s="158">
        <v>46220.729166666664</v>
      </c>
      <c r="W68" s="60">
        <v>16</v>
      </c>
      <c r="X68" s="75" t="s">
        <v>83</v>
      </c>
      <c r="Y68" s="61" t="s">
        <v>334</v>
      </c>
      <c r="Z68" s="85" t="str">
        <f>IF(OR(CagrTable[[#This Row],[Is Closed]]="", CagrTable[[#This Row],[Is Closed]]="H"),"Y","")</f>
        <v/>
      </c>
      <c r="AA68" s="85" t="str">
        <f>IF(OR(CagrTable[[#This Row],[Position]]="LNG",CagrTable[[#This Row],[Position]]="SHRT"),"Equity","Option")</f>
        <v>Option</v>
      </c>
      <c r="AB68" s="84" t="str">
        <f>IF(CagrTable[[#This Row],[Pricing Update Included]]="Y",IF(CagrTable[[#This Row],[Pricing Update Asset]]="Equity",CagrTable[[#This Row],[Symbol]],CagrTable[[#This Row],[Option Symbol]]),"")</f>
        <v/>
      </c>
      <c r="AC68" s="80">
        <f>SUBTOTAL(103,CagrTable[[#This Row],[Symbol]])</f>
        <v>0</v>
      </c>
      <c r="AD68" s="80" t="b">
        <f>LEFT(CagrTable[[#This Row],[Position]],1)="L"</f>
        <v>0</v>
      </c>
      <c r="AE68" s="80" t="b">
        <f>LEFT(CagrTable[[#This Row],[Position]],1)="S"</f>
        <v>1</v>
      </c>
      <c r="AF68" s="80" t="b">
        <f>(CagrTable[[#This Row],[Position]] = "DIV")</f>
        <v>0</v>
      </c>
      <c r="AG68" s="80" t="b">
        <f>CagrTable[[#This Row],[Position]] = "PLUG"</f>
        <v>0</v>
      </c>
      <c r="AH68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0</v>
      </c>
      <c r="AI68" s="80" t="b">
        <f>CagrTable[[#This Row],[Is Closed]] &lt;&gt; "Y"</f>
        <v>0</v>
      </c>
      <c r="AJ68" s="84" t="b">
        <f>OR(CagrTable[[#This Row],[Option Type]]&lt;&gt;"",
  CagrTable[[#This Row],[Position]]="LC", CagrTable[[#This Row],[Position]]="SC",
  CagrTable[[#This Row],[Position]]="LP",CagrTable[[#This Row],[Position]]="SP"
)</f>
        <v>1</v>
      </c>
      <c r="AK68" s="84" t="b">
        <f>AND(CagrTable[[#This Row],[Option Type]] = "C", CagrTable[[#This Row],[Is Short]])</f>
        <v>0</v>
      </c>
      <c r="AL68" s="84" t="b">
        <f>AND(CagrTable[[#This Row],[Is Short Call]],CagrTable[[#This Row],[Is Naked Call]] = TRUE)</f>
        <v>0</v>
      </c>
      <c r="AM68" s="84" t="b">
        <f>AND(CagrTable[[#This Row],[Option Type]] = "P", CagrTable[[#This Row],[Is Short]])</f>
        <v>1</v>
      </c>
      <c r="AN68" s="84" t="b">
        <f>CagrTable[[#This Row],[Position]]= "LC"</f>
        <v>0</v>
      </c>
      <c r="AO68" s="169">
        <f>IF(AND(CagrTable[[#This Row],[Is Long]], NOT(CagrTable[[#This Row],[Position]]="LP")), CagrTable[[#This Row],[Qty]] * IF(CagrTable[[#This Row],[Is Option]], 100, 1), 0)</f>
        <v>0</v>
      </c>
      <c r="AP68" s="169">
        <f>IF(CagrTable[[#This Row],[Is Naked Short]], CagrTable[[#This Row],[Qty]] * -100, 0)</f>
        <v>0</v>
      </c>
      <c r="AQ68" s="169">
        <f>IF(CagrTable[[#This Row],[Is ACB Put]], CagrTable[[#This Row],[Qty]] * -100, 0)</f>
        <v>0</v>
      </c>
      <c r="AR68" s="169">
        <f>IF(AND(CagrTable[[#This Row],[Is Short]], NOT(CagrTable[[#This Row],[Is Naked Short]])), CagrTable[[#This Row],[Qty]] * IF(CagrTable[[#This Row],[Is Option]], 100, 1), 0)</f>
        <v>1000</v>
      </c>
      <c r="AS68" s="169">
        <f>SUM(CagrTable[[#This Row],[Long Share Equivalent]:[Covered Short Share Equivalent]])</f>
        <v>1000</v>
      </c>
      <c r="AT68" s="169">
        <f>IF(CagrTable[[#This Row],[Is Open]], SUM(CagrTable[[#This Row],[Long Share Equivalent]:[ACB Put Share Equivalent]]), 0)</f>
        <v>0</v>
      </c>
      <c r="AU68" s="166">
        <f>IF(OR(CagrTable[[#This Row],[Is Long]], CagrTable[[#This Row],[Is DIV]]), CagrTable[[#This Row],[Acquire Date]], CagrTable[[#This Row],[Sell Date]])</f>
        <v>46169.538449074076</v>
      </c>
      <c r="AV68" s="166" t="str">
        <f>IF(NOT(CagrTable[[#This Row],[Is Option]]), IF(OR(CagrTable[[#This Row],[Is Long]], CagrTable[[#This Row],[Is DIV]]), CagrTable[[#This Row],[Sell Date]], CagrTable[[#This Row],[Acquire Date]]), "")</f>
        <v/>
      </c>
      <c r="AW68" s="166" t="str">
        <f>IF(AND(CagrTable[[#This Row],[Is Option]], CagrTable[[#This Row],[Is Open]]), IF(CagrTable[[#This Row],[Is Long Call]], CagrTable[[#This Row],[Exp Date]], MIN(MockToday, CagrTable[[#This Row],[Exp Date]])), "")</f>
        <v/>
      </c>
      <c r="AX68" s="166">
        <f>IF(AND(CagrTable[[#This Row],[Is Option]], NOT(CagrTable[[#This Row],[Is Open]])), IF(CagrTable[[#This Row],[Is Long]], CagrTable[[#This Row],[Sell Date]], CagrTable[[#This Row],[Acquire Date]]), "")</f>
        <v>46220.729166666664</v>
      </c>
      <c r="AY68" s="166" cm="1">
        <f t="array" ref="AY68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46220.729166666664</v>
      </c>
      <c r="AZ68" s="80" t="b">
        <f>IF(AND(CagrTable[[#This Row],[Visible]], CagrTable[[#This Row],[Is Open]]), OR(CagrTable[[#This Row],[Is Long]], AND(CagrTable[[#This Row],[Is Short]], CagrTable[[#This Row],[Is Naked Call]])), FALSE)</f>
        <v>0</v>
      </c>
      <c r="BA68" s="80" t="b">
        <f>AND(CagrTable[[#This Row],[Visible]], OR(NOT(CagrTable[[#This Row],[Is PLUG]]), CagrTable[[#This Row],[Plug Type]] = "MTM"))</f>
        <v>0</v>
      </c>
      <c r="BB68" s="80" t="b">
        <f>AND(CagrTable[[#This Row],[Visible]],NOT(CagrTable[[#This Row],[Is Open]]),NOT(CagrTable[[#This Row],[Plug Type]] = "MC"),CagrTable[[#This Row],[Position]]&lt;&gt;"DIV")</f>
        <v>0</v>
      </c>
      <c r="BC68" s="193">
        <f>IF(AND(CagrTable[[#This Row],[Visible]], CagrTable[[#This Row],[Plug Type]] = "MC"), CagrTable[[#This Row],[Basis]], 0)</f>
        <v>0</v>
      </c>
      <c r="BD68" s="182">
        <f>IF(CagrTable[[#This Row],[Is PLUG]], 0, CagrTable[[#This Row],[Proceeds]] - CagrTable[[#This Row],[Basis]])</f>
        <v>1133.24</v>
      </c>
      <c r="BE68" s="180">
        <f>IF(AND(OR(CagrTable[[#This Row],[Is Short Call]],CagrTable[[#This Row],[Is Short Put]])), CagrTable[[#This Row],[Proceeds]], 0)</f>
        <v>1133.24</v>
      </c>
      <c r="BF68" s="180">
        <f>IF(AND(OR(CagrTable[[#This Row],[Is Short Call]],CagrTable[[#This Row],[Is Short Put]])), CagrTable[[#This Row],[Basis]], 0)</f>
        <v>0</v>
      </c>
      <c r="BG68" s="173">
        <f>IF(CagrTable[[#This Row],[Covered Short Share Equivalent]] &gt; 0,-1 * CagrTable[[#This Row],[Premium Input]] / CagrTable[[#This Row],[Covered Short Share Equivalent]], 0)</f>
        <v>-1.13324</v>
      </c>
      <c r="BH68" s="173">
        <f>IF(CagrTable[[#This Row],[Covered Short Share Equivalent]] &gt; 0, CagrTable[[#This Row],[Premium Offset Input]] / CagrTable[[#This Row],[Covered Short Share Equivalent]], 0)</f>
        <v>0</v>
      </c>
      <c r="BI68" s="173">
        <f>SUM(CagrTable[[#This Row],[Premium ACB]:[Premium Offset ACB]])</f>
        <v>-1.13324</v>
      </c>
      <c r="BJ68" s="173">
        <f>IF(CagrTable[[#This Row],[Is Naked Short]],-1 * CagrTable[[#This Row],[Strike Price]] - (CagrTable[[#This Row],[Proceeds]] / CagrTable[[#This Row],[Naked Short Share Equivalent]]), 0)</f>
        <v>0</v>
      </c>
      <c r="BK68" s="173">
        <f>IF(CagrTable[[#This Row],[Is Short Put]], CagrTable[[#This Row],[Strike Price]] + CagrTable[[#This Row],[Net Short Premium ACB]], 0)</f>
        <v>14.866759999999999</v>
      </c>
      <c r="BL68" s="173">
        <f>IF(AND(CagrTable[[#This Row],[Is Long Call]], NOT(CagrTable[[#This Row],[Is PLUG]])), -1 * CagrTable[[#This Row],[P&amp;L]]/(CagrTable[[#This Row],[Qty]] * 100), 0)</f>
        <v>0</v>
      </c>
      <c r="BM68" s="173">
        <f>IF(AND(NOT(CagrTable[[#This Row],[Is Option]]), NOT(CagrTable[[#This Row],[Is PLUG]]), OR(CagrTable[[#This Row],[Is Open]], CagrTable[[#This Row],[Is DIV]]), N(CagrTable[[#This Row],[Qty]])&lt;&gt;0), -CagrTable[[#This Row],[P&amp;L]]/CagrTable[[#This Row],[Qty]], 0)</f>
        <v>0</v>
      </c>
      <c r="BN68" s="173" t="b">
        <f>AND(_Total_ACB_Shares&lt;&gt;0, NOT(CagrTable[[#This Row],[Is PLUG]]))</f>
        <v>0</v>
      </c>
      <c r="BO68" s="173">
        <f>IF(OR(_Total_ACB_Shares=0, CagrTable[[#This Row],[Is PLUG]]), 0, (CagrTable[[#This Row],[ACB]] * CagrTable[[#This Row],[Qty]] * IF(CagrTable[[#This Row],[Is Option]], 100, 1))/ _Total_ACB_Shares)</f>
        <v>0</v>
      </c>
      <c r="BP68" s="184">
        <f t="shared" si="5"/>
        <v>1</v>
      </c>
      <c r="BQ68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-1.13324</v>
      </c>
      <c r="BR68" s="174">
        <f>CagrTable[[#This Row],[Prelim Weighted ACB]] * CagrTable[[#This Row],[ACB Sign]]</f>
        <v>0</v>
      </c>
      <c r="BS68" s="62">
        <f>CagrTable[[#This Row],[Proceeds]] - CagrTable[[#This Row],[Basis]]</f>
        <v>1133.24</v>
      </c>
      <c r="BT68" s="91" t="s">
        <v>79</v>
      </c>
      <c r="BU68" s="63" t="s">
        <v>62</v>
      </c>
      <c r="BV68" s="63" t="s">
        <v>92</v>
      </c>
      <c r="BW68" s="63" t="s">
        <v>85</v>
      </c>
      <c r="BX68" s="27"/>
      <c r="BY68" s="58">
        <v>18.5</v>
      </c>
      <c r="BZ68" s="58">
        <v>1.1399999999999999</v>
      </c>
      <c r="CA68" s="100">
        <v>46169.538449074076</v>
      </c>
      <c r="CB68" s="58">
        <v>1.35</v>
      </c>
      <c r="CC68" s="58">
        <v>1.1200000000000001</v>
      </c>
      <c r="CD68" s="65">
        <v>8</v>
      </c>
      <c r="CE68" s="83"/>
      <c r="CF68" s="66" t="s">
        <v>73</v>
      </c>
      <c r="CG68" s="58"/>
      <c r="CH68" s="66" t="s">
        <v>335</v>
      </c>
      <c r="CI68" s="66" t="s">
        <v>65</v>
      </c>
      <c r="CJ68" s="66"/>
      <c r="CK68" s="58">
        <v>12.67</v>
      </c>
      <c r="CL68" s="58"/>
      <c r="CM68" s="64">
        <v>46218.708333333336</v>
      </c>
      <c r="CN68" s="58"/>
      <c r="CO68" s="58"/>
      <c r="CP68" s="67"/>
      <c r="CQ68" s="82"/>
      <c r="CR68" s="58"/>
      <c r="CS68" s="58"/>
      <c r="CT68" s="66" t="s">
        <v>402</v>
      </c>
      <c r="CU68" s="73"/>
      <c r="CV68" s="181" t="s">
        <v>336</v>
      </c>
      <c r="CW68" s="1"/>
      <c r="CX68" s="1"/>
      <c r="DC68" s="19"/>
      <c r="DL68" s="13"/>
    </row>
    <row r="69" spans="1:116" ht="12.75" hidden="1" customHeight="1">
      <c r="A69" s="69" t="s">
        <v>274</v>
      </c>
      <c r="B69" s="189" t="s">
        <v>78</v>
      </c>
      <c r="C69" s="88">
        <v>10</v>
      </c>
      <c r="D69" s="70">
        <v>3</v>
      </c>
      <c r="E69" s="1" t="str">
        <f>CONCATENATE(CagrTable[[#This Row],[Symbol]], CagrTable[[#This Row],[ID]])</f>
        <v>UUUU3</v>
      </c>
      <c r="F69" s="55" t="s">
        <v>61</v>
      </c>
      <c r="G69" s="56">
        <v>46220.729166666664</v>
      </c>
      <c r="H69" s="58">
        <v>0</v>
      </c>
      <c r="I69" s="57">
        <f>IF(ISNUMBER(CagrTable[[#This Row],[Qty]]),CagrTable[[#This Row],[Basis]] /CagrTable[[#This Row],[Qty]], "")</f>
        <v>0</v>
      </c>
      <c r="J69" s="56">
        <v>46191.404293981483</v>
      </c>
      <c r="K69" s="58">
        <v>1933.24</v>
      </c>
      <c r="L69" s="78">
        <f>IF(ISNUMBER(CagrTable[[#This Row],[Qty]]),CagrTable[[#This Row],[Proceeds]] / CagrTable[[#This Row],[Qty]], "")</f>
        <v>193.32400000000001</v>
      </c>
      <c r="M69" s="77">
        <f>IF(CagrTable[[#This Row],[Is Open]], CagrTable[[#This Row],[Date Opened]], CagrTable[[#This Row],[Date Closed]])</f>
        <v>46220.729166666664</v>
      </c>
      <c r="N69" s="101"/>
      <c r="O69"/>
      <c r="P69" s="177"/>
      <c r="Q69" s="176"/>
      <c r="R69" s="71">
        <f>IF(CagrTable[[#This Row],[Sell Date]]=CagrTable[[#This Row],[Acquire Date]], 1, ABS(CagrTable[[#This Row],[Sell Date]] - CagrTable[[#This Row],[Acquire Date]]))</f>
        <v>29.324872685181617</v>
      </c>
      <c r="S69" s="59">
        <f>CagrTable[[#This Row],[Days Held]] / 30</f>
        <v>0.97749575617272055</v>
      </c>
      <c r="T69" s="178">
        <v>6.76</v>
      </c>
      <c r="U69" s="179"/>
      <c r="V69" s="158">
        <v>46220.729166666664</v>
      </c>
      <c r="W69" s="60">
        <v>17</v>
      </c>
      <c r="X69" s="75" t="s">
        <v>83</v>
      </c>
      <c r="Y69" s="61" t="s">
        <v>357</v>
      </c>
      <c r="Z69" s="85" t="str">
        <f>IF(OR(CagrTable[[#This Row],[Is Closed]]="", CagrTable[[#This Row],[Is Closed]]="H"),"Y","")</f>
        <v/>
      </c>
      <c r="AA69" s="85" t="str">
        <f>IF(OR(CagrTable[[#This Row],[Position]]="LNG",CagrTable[[#This Row],[Position]]="SHRT"),"Equity","Option")</f>
        <v>Option</v>
      </c>
      <c r="AB69" s="84" t="str">
        <f>IF(CagrTable[[#This Row],[Pricing Update Included]]="Y",IF(CagrTable[[#This Row],[Pricing Update Asset]]="Equity",CagrTable[[#This Row],[Symbol]],CagrTable[[#This Row],[Option Symbol]]),"")</f>
        <v/>
      </c>
      <c r="AC69" s="80">
        <f>SUBTOTAL(103,CagrTable[[#This Row],[Symbol]])</f>
        <v>0</v>
      </c>
      <c r="AD69" s="80" t="b">
        <f>LEFT(CagrTable[[#This Row],[Position]],1)="L"</f>
        <v>0</v>
      </c>
      <c r="AE69" s="80" t="b">
        <f>LEFT(CagrTable[[#This Row],[Position]],1)="S"</f>
        <v>1</v>
      </c>
      <c r="AF69" s="80" t="b">
        <f>(CagrTable[[#This Row],[Position]] = "DIV")</f>
        <v>0</v>
      </c>
      <c r="AG69" s="80" t="b">
        <f>CagrTable[[#This Row],[Position]] = "PLUG"</f>
        <v>0</v>
      </c>
      <c r="AH69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0</v>
      </c>
      <c r="AI69" s="80" t="b">
        <f>CagrTable[[#This Row],[Is Closed]] &lt;&gt; "Y"</f>
        <v>0</v>
      </c>
      <c r="AJ69" s="84" t="b">
        <f>OR(CagrTable[[#This Row],[Option Type]]&lt;&gt;"",
  CagrTable[[#This Row],[Position]]="LC", CagrTable[[#This Row],[Position]]="SC",
  CagrTable[[#This Row],[Position]]="LP",CagrTable[[#This Row],[Position]]="SP"
)</f>
        <v>1</v>
      </c>
      <c r="AK69" s="84" t="b">
        <f>AND(CagrTable[[#This Row],[Option Type]] = "C", CagrTable[[#This Row],[Is Short]])</f>
        <v>0</v>
      </c>
      <c r="AL69" s="84" t="b">
        <f>AND(CagrTable[[#This Row],[Is Short Call]],CagrTable[[#This Row],[Is Naked Call]] = TRUE)</f>
        <v>0</v>
      </c>
      <c r="AM69" s="84" t="b">
        <f>AND(CagrTable[[#This Row],[Option Type]] = "P", CagrTable[[#This Row],[Is Short]])</f>
        <v>1</v>
      </c>
      <c r="AN69" s="84" t="b">
        <f>CagrTable[[#This Row],[Position]]= "LC"</f>
        <v>0</v>
      </c>
      <c r="AO69" s="169">
        <f>IF(AND(CagrTable[[#This Row],[Is Long]], NOT(CagrTable[[#This Row],[Position]]="LP")), CagrTable[[#This Row],[Qty]] * IF(CagrTable[[#This Row],[Is Option]], 100, 1), 0)</f>
        <v>0</v>
      </c>
      <c r="AP69" s="169">
        <f>IF(CagrTable[[#This Row],[Is Naked Short]], CagrTable[[#This Row],[Qty]] * -100, 0)</f>
        <v>0</v>
      </c>
      <c r="AQ69" s="169">
        <f>IF(CagrTable[[#This Row],[Is ACB Put]], CagrTable[[#This Row],[Qty]] * -100, 0)</f>
        <v>0</v>
      </c>
      <c r="AR69" s="169">
        <f>IF(AND(CagrTable[[#This Row],[Is Short]], NOT(CagrTable[[#This Row],[Is Naked Short]])), CagrTable[[#This Row],[Qty]] * IF(CagrTable[[#This Row],[Is Option]], 100, 1), 0)</f>
        <v>1000</v>
      </c>
      <c r="AS69" s="169">
        <f>SUM(CagrTable[[#This Row],[Long Share Equivalent]:[Covered Short Share Equivalent]])</f>
        <v>1000</v>
      </c>
      <c r="AT69" s="169">
        <f>IF(CagrTable[[#This Row],[Is Open]], SUM(CagrTable[[#This Row],[Long Share Equivalent]:[ACB Put Share Equivalent]]), 0)</f>
        <v>0</v>
      </c>
      <c r="AU69" s="166">
        <f>IF(OR(CagrTable[[#This Row],[Is Long]], CagrTable[[#This Row],[Is DIV]]), CagrTable[[#This Row],[Acquire Date]], CagrTable[[#This Row],[Sell Date]])</f>
        <v>46191.404293981483</v>
      </c>
      <c r="AV69" s="166" t="str">
        <f>IF(NOT(CagrTable[[#This Row],[Is Option]]), IF(OR(CagrTable[[#This Row],[Is Long]], CagrTable[[#This Row],[Is DIV]]), CagrTable[[#This Row],[Sell Date]], CagrTable[[#This Row],[Acquire Date]]), "")</f>
        <v/>
      </c>
      <c r="AW69" s="166" t="str">
        <f>IF(AND(CagrTable[[#This Row],[Is Option]], CagrTable[[#This Row],[Is Open]]), IF(CagrTable[[#This Row],[Is Long Call]], CagrTable[[#This Row],[Exp Date]], MIN(MockToday, CagrTable[[#This Row],[Exp Date]])), "")</f>
        <v/>
      </c>
      <c r="AX69" s="166">
        <f>IF(AND(CagrTable[[#This Row],[Is Option]], NOT(CagrTable[[#This Row],[Is Open]])), IF(CagrTable[[#This Row],[Is Long]], CagrTable[[#This Row],[Sell Date]], CagrTable[[#This Row],[Acquire Date]]), "")</f>
        <v>46220.729166666664</v>
      </c>
      <c r="AY69" s="166" cm="1">
        <f t="array" ref="AY69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46220.729166666664</v>
      </c>
      <c r="AZ69" s="80" t="b">
        <f>IF(AND(CagrTable[[#This Row],[Visible]], CagrTable[[#This Row],[Is Open]]), OR(CagrTable[[#This Row],[Is Long]], AND(CagrTable[[#This Row],[Is Short]], CagrTable[[#This Row],[Is Naked Call]])), FALSE)</f>
        <v>0</v>
      </c>
      <c r="BA69" s="80" t="b">
        <f>AND(CagrTable[[#This Row],[Visible]], OR(NOT(CagrTable[[#This Row],[Is PLUG]]), CagrTable[[#This Row],[Plug Type]] = "MTM"))</f>
        <v>0</v>
      </c>
      <c r="BB69" s="80" t="b">
        <f>AND(CagrTable[[#This Row],[Visible]],NOT(CagrTable[[#This Row],[Is Open]]),NOT(CagrTable[[#This Row],[Plug Type]] = "MC"),CagrTable[[#This Row],[Position]]&lt;&gt;"DIV")</f>
        <v>0</v>
      </c>
      <c r="BC69" s="193">
        <f>IF(AND(CagrTable[[#This Row],[Visible]], CagrTable[[#This Row],[Plug Type]] = "MC"), CagrTable[[#This Row],[Basis]], 0)</f>
        <v>0</v>
      </c>
      <c r="BD69" s="182">
        <f>IF(CagrTable[[#This Row],[Is PLUG]], 0, CagrTable[[#This Row],[Proceeds]] - CagrTable[[#This Row],[Basis]])</f>
        <v>1933.24</v>
      </c>
      <c r="BE69" s="180">
        <f>IF(AND(OR(CagrTable[[#This Row],[Is Short Call]],CagrTable[[#This Row],[Is Short Put]])), CagrTable[[#This Row],[Proceeds]], 0)</f>
        <v>1933.24</v>
      </c>
      <c r="BF69" s="180">
        <f>IF(AND(OR(CagrTable[[#This Row],[Is Short Call]],CagrTable[[#This Row],[Is Short Put]])), CagrTable[[#This Row],[Basis]], 0)</f>
        <v>0</v>
      </c>
      <c r="BG69" s="173">
        <f>IF(CagrTable[[#This Row],[Covered Short Share Equivalent]] &gt; 0,-1 * CagrTable[[#This Row],[Premium Input]] / CagrTable[[#This Row],[Covered Short Share Equivalent]], 0)</f>
        <v>-1.9332400000000001</v>
      </c>
      <c r="BH69" s="173">
        <f>IF(CagrTable[[#This Row],[Covered Short Share Equivalent]] &gt; 0, CagrTable[[#This Row],[Premium Offset Input]] / CagrTable[[#This Row],[Covered Short Share Equivalent]], 0)</f>
        <v>0</v>
      </c>
      <c r="BI69" s="173">
        <f>SUM(CagrTable[[#This Row],[Premium ACB]:[Premium Offset ACB]])</f>
        <v>-1.9332400000000001</v>
      </c>
      <c r="BJ69" s="173">
        <f>IF(CagrTable[[#This Row],[Is Naked Short]],-1 * CagrTable[[#This Row],[Strike Price]] - (CagrTable[[#This Row],[Proceeds]] / CagrTable[[#This Row],[Naked Short Share Equivalent]]), 0)</f>
        <v>0</v>
      </c>
      <c r="BK69" s="173">
        <f>IF(CagrTable[[#This Row],[Is Short Put]], CagrTable[[#This Row],[Strike Price]] + CagrTable[[#This Row],[Net Short Premium ACB]], 0)</f>
        <v>15.06676</v>
      </c>
      <c r="BL69" s="173">
        <f>IF(AND(CagrTable[[#This Row],[Is Long Call]], NOT(CagrTable[[#This Row],[Is PLUG]])), -1 * CagrTable[[#This Row],[P&amp;L]]/(CagrTable[[#This Row],[Qty]] * 100), 0)</f>
        <v>0</v>
      </c>
      <c r="BM69" s="173">
        <f>IF(AND(NOT(CagrTable[[#This Row],[Is Option]]), NOT(CagrTable[[#This Row],[Is PLUG]]), OR(CagrTable[[#This Row],[Is Open]], CagrTable[[#This Row],[Is DIV]]), N(CagrTable[[#This Row],[Qty]])&lt;&gt;0), -CagrTable[[#This Row],[P&amp;L]]/CagrTable[[#This Row],[Qty]], 0)</f>
        <v>0</v>
      </c>
      <c r="BN69" s="173" t="b">
        <f>AND(_Total_ACB_Shares&lt;&gt;0, NOT(CagrTable[[#This Row],[Is PLUG]]))</f>
        <v>0</v>
      </c>
      <c r="BO69" s="173">
        <f>IF(OR(_Total_ACB_Shares=0, CagrTable[[#This Row],[Is PLUG]]), 0, (CagrTable[[#This Row],[ACB]] * CagrTable[[#This Row],[Qty]] * IF(CagrTable[[#This Row],[Is Option]], 100, 1))/ _Total_ACB_Shares)</f>
        <v>0</v>
      </c>
      <c r="BP69" s="184">
        <f t="shared" si="5"/>
        <v>1</v>
      </c>
      <c r="BQ69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-1.9332400000000001</v>
      </c>
      <c r="BR69" s="174">
        <f>CagrTable[[#This Row],[Prelim Weighted ACB]] * CagrTable[[#This Row],[ACB Sign]]</f>
        <v>0</v>
      </c>
      <c r="BS69" s="62">
        <f>CagrTable[[#This Row],[Proceeds]] - CagrTable[[#This Row],[Basis]]</f>
        <v>1933.24</v>
      </c>
      <c r="BT69" s="91" t="s">
        <v>79</v>
      </c>
      <c r="BU69" s="63" t="s">
        <v>62</v>
      </c>
      <c r="BV69" s="63" t="s">
        <v>71</v>
      </c>
      <c r="BW69" s="63" t="s">
        <v>85</v>
      </c>
      <c r="BX69" s="27"/>
      <c r="BY69" s="58">
        <v>16.45</v>
      </c>
      <c r="BZ69" s="58">
        <v>1.94</v>
      </c>
      <c r="CA69" s="100">
        <v>46191.404293981483</v>
      </c>
      <c r="CB69" s="58">
        <v>1.94</v>
      </c>
      <c r="CC69" s="58">
        <v>1.6</v>
      </c>
      <c r="CD69" s="65">
        <v>100</v>
      </c>
      <c r="CE69" s="82"/>
      <c r="CF69" s="66" t="s">
        <v>64</v>
      </c>
      <c r="CG69" s="58">
        <v>1.07</v>
      </c>
      <c r="CH69" s="66" t="s">
        <v>358</v>
      </c>
      <c r="CI69" s="66" t="s">
        <v>65</v>
      </c>
      <c r="CJ69" s="66"/>
      <c r="CK69" s="58">
        <v>12.67</v>
      </c>
      <c r="CL69" s="58"/>
      <c r="CM69" s="64">
        <v>46218.708333333336</v>
      </c>
      <c r="CN69" s="58"/>
      <c r="CO69" s="58"/>
      <c r="CP69" s="67"/>
      <c r="CQ69" s="82"/>
      <c r="CR69" s="58"/>
      <c r="CS69" s="58"/>
      <c r="CT69" s="66" t="s">
        <v>402</v>
      </c>
      <c r="CU69" s="68"/>
      <c r="CV69" s="181" t="s">
        <v>359</v>
      </c>
      <c r="CW69" s="1"/>
      <c r="CX69" s="1"/>
      <c r="DC69" s="19"/>
      <c r="DL69" s="13"/>
    </row>
    <row r="70" spans="1:116" ht="12.75" hidden="1" customHeight="1">
      <c r="A70" s="69" t="s">
        <v>274</v>
      </c>
      <c r="B70" s="189" t="s">
        <v>67</v>
      </c>
      <c r="C70" s="88">
        <v>20</v>
      </c>
      <c r="D70" s="70">
        <v>3</v>
      </c>
      <c r="E70" s="1" t="str">
        <f>CONCATENATE(CagrTable[[#This Row],[Symbol]], CagrTable[[#This Row],[ID]])</f>
        <v>UUUU3</v>
      </c>
      <c r="F70" s="55" t="s">
        <v>61</v>
      </c>
      <c r="G70" s="56">
        <v>46232.530243055553</v>
      </c>
      <c r="H70" s="58">
        <v>20.27</v>
      </c>
      <c r="I70" s="57">
        <f>IF(ISNUMBER(CagrTable[[#This Row],[Qty]]),CagrTable[[#This Row],[Basis]] /CagrTable[[#This Row],[Qty]], "")</f>
        <v>1.0135000000000001</v>
      </c>
      <c r="J70" s="56">
        <v>46223.458101851851</v>
      </c>
      <c r="K70" s="58">
        <v>306.74</v>
      </c>
      <c r="L70" s="78">
        <f>IF(ISNUMBER(CagrTable[[#This Row],[Qty]]),CagrTable[[#This Row],[Proceeds]] / CagrTable[[#This Row],[Qty]], "")</f>
        <v>15.337</v>
      </c>
      <c r="M70" s="77">
        <f>IF(CagrTable[[#This Row],[Is Open]], CagrTable[[#This Row],[Date Opened]], CagrTable[[#This Row],[Date Closed]])</f>
        <v>46232.530243055553</v>
      </c>
      <c r="N70" s="101"/>
      <c r="O70"/>
      <c r="P70" s="177"/>
      <c r="Q70" s="176"/>
      <c r="R70" s="71">
        <f>IF(CagrTable[[#This Row],[Sell Date]]=CagrTable[[#This Row],[Acquire Date]], 1, ABS(CagrTable[[#This Row],[Sell Date]] - CagrTable[[#This Row],[Acquire Date]]))</f>
        <v>9.0721412037019036</v>
      </c>
      <c r="S70" s="72">
        <f>CagrTable[[#This Row],[Days Held]] / 30</f>
        <v>0.30240470679006343</v>
      </c>
      <c r="T70" s="178">
        <v>13.26</v>
      </c>
      <c r="U70" s="179">
        <v>0.27</v>
      </c>
      <c r="V70" s="158">
        <v>46234.729166666664</v>
      </c>
      <c r="W70" s="60">
        <v>13</v>
      </c>
      <c r="X70" s="75" t="s">
        <v>68</v>
      </c>
      <c r="Y70" s="61" t="s">
        <v>421</v>
      </c>
      <c r="Z70" s="85" t="str">
        <f>IF(OR(CagrTable[[#This Row],[Is Closed]]="", CagrTable[[#This Row],[Is Closed]]="H"),"Y","")</f>
        <v/>
      </c>
      <c r="AA70" s="85" t="str">
        <f>IF(OR(CagrTable[[#This Row],[Position]]="LNG",CagrTable[[#This Row],[Position]]="SHRT"),"Equity","Option")</f>
        <v>Option</v>
      </c>
      <c r="AB70" s="84" t="str">
        <f>IF(CagrTable[[#This Row],[Pricing Update Included]]="Y",IF(CagrTable[[#This Row],[Pricing Update Asset]]="Equity",CagrTable[[#This Row],[Symbol]],CagrTable[[#This Row],[Option Symbol]]),"")</f>
        <v/>
      </c>
      <c r="AC70" s="80">
        <f>SUBTOTAL(103,CagrTable[[#This Row],[Symbol]])</f>
        <v>0</v>
      </c>
      <c r="AD70" s="80" t="b">
        <f>LEFT(CagrTable[[#This Row],[Position]],1)="L"</f>
        <v>0</v>
      </c>
      <c r="AE70" s="80" t="b">
        <f>LEFT(CagrTable[[#This Row],[Position]],1)="S"</f>
        <v>1</v>
      </c>
      <c r="AF70" s="80" t="b">
        <f>(CagrTable[[#This Row],[Position]] = "DIV")</f>
        <v>0</v>
      </c>
      <c r="AG70" s="80" t="b">
        <f>CagrTable[[#This Row],[Position]] = "PLUG"</f>
        <v>0</v>
      </c>
      <c r="AH70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0</v>
      </c>
      <c r="AI70" s="80" t="b">
        <f>CagrTable[[#This Row],[Is Closed]] &lt;&gt; "Y"</f>
        <v>0</v>
      </c>
      <c r="AJ70" s="84" t="b">
        <f>OR(CagrTable[[#This Row],[Option Type]]&lt;&gt;"",
  CagrTable[[#This Row],[Position]]="LC", CagrTable[[#This Row],[Position]]="SC",
  CagrTable[[#This Row],[Position]]="LP",CagrTable[[#This Row],[Position]]="SP"
)</f>
        <v>1</v>
      </c>
      <c r="AK70" s="84" t="b">
        <f>AND(CagrTable[[#This Row],[Option Type]] = "C", CagrTable[[#This Row],[Is Short]])</f>
        <v>1</v>
      </c>
      <c r="AL70" s="84" t="b">
        <f>AND(CagrTable[[#This Row],[Is Short Call]],CagrTable[[#This Row],[Is Naked Call]] = TRUE)</f>
        <v>0</v>
      </c>
      <c r="AM70" s="84" t="b">
        <f>AND(CagrTable[[#This Row],[Option Type]] = "P", CagrTable[[#This Row],[Is Short]])</f>
        <v>0</v>
      </c>
      <c r="AN70" s="84" t="b">
        <f>CagrTable[[#This Row],[Position]]= "LC"</f>
        <v>0</v>
      </c>
      <c r="AO70" s="169">
        <f>IF(AND(CagrTable[[#This Row],[Is Long]], NOT(CagrTable[[#This Row],[Position]]="LP")), CagrTable[[#This Row],[Qty]] * IF(CagrTable[[#This Row],[Is Option]], 100, 1), 0)</f>
        <v>0</v>
      </c>
      <c r="AP70" s="169">
        <f>IF(CagrTable[[#This Row],[Is Naked Short]], CagrTable[[#This Row],[Qty]] * -100, 0)</f>
        <v>0</v>
      </c>
      <c r="AQ70" s="169">
        <f>IF(CagrTable[[#This Row],[Is ACB Put]], CagrTable[[#This Row],[Qty]] * -100, 0)</f>
        <v>0</v>
      </c>
      <c r="AR70" s="169">
        <f>IF(AND(CagrTable[[#This Row],[Is Short]], NOT(CagrTable[[#This Row],[Is Naked Short]])), CagrTable[[#This Row],[Qty]] * IF(CagrTable[[#This Row],[Is Option]], 100, 1), 0)</f>
        <v>2000</v>
      </c>
      <c r="AS70" s="169">
        <f>SUM(CagrTable[[#This Row],[Long Share Equivalent]:[Covered Short Share Equivalent]])</f>
        <v>2000</v>
      </c>
      <c r="AT70" s="169">
        <f>IF(CagrTable[[#This Row],[Is Open]], SUM(CagrTable[[#This Row],[Long Share Equivalent]:[ACB Put Share Equivalent]]), 0)</f>
        <v>0</v>
      </c>
      <c r="AU70" s="166">
        <f>IF(OR(CagrTable[[#This Row],[Is Long]], CagrTable[[#This Row],[Is DIV]]), CagrTable[[#This Row],[Acquire Date]], CagrTable[[#This Row],[Sell Date]])</f>
        <v>46223.458101851851</v>
      </c>
      <c r="AV70" s="166" t="str">
        <f>IF(NOT(CagrTable[[#This Row],[Is Option]]), IF(OR(CagrTable[[#This Row],[Is Long]], CagrTable[[#This Row],[Is DIV]]), CagrTable[[#This Row],[Sell Date]], CagrTable[[#This Row],[Acquire Date]]), "")</f>
        <v/>
      </c>
      <c r="AW70" s="166" t="str">
        <f>IF(AND(CagrTable[[#This Row],[Is Option]], CagrTable[[#This Row],[Is Open]]), IF(CagrTable[[#This Row],[Is Long Call]], CagrTable[[#This Row],[Exp Date]], MIN(MockToday, CagrTable[[#This Row],[Exp Date]])), "")</f>
        <v/>
      </c>
      <c r="AX70" s="166">
        <f>IF(AND(CagrTable[[#This Row],[Is Option]], NOT(CagrTable[[#This Row],[Is Open]])), IF(CagrTable[[#This Row],[Is Long]], CagrTable[[#This Row],[Sell Date]], CagrTable[[#This Row],[Acquire Date]]), "")</f>
        <v>46232.530243055553</v>
      </c>
      <c r="AY70" s="166" cm="1">
        <f t="array" ref="AY70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46232.530243055553</v>
      </c>
      <c r="AZ70" s="80" t="b">
        <f>IF(AND(CagrTable[[#This Row],[Visible]], CagrTable[[#This Row],[Is Open]]), OR(CagrTable[[#This Row],[Is Long]], AND(CagrTable[[#This Row],[Is Short]], CagrTable[[#This Row],[Is Naked Call]])), FALSE)</f>
        <v>0</v>
      </c>
      <c r="BA70" s="80" t="b">
        <f>AND(CagrTable[[#This Row],[Visible]], OR(NOT(CagrTable[[#This Row],[Is PLUG]]), CagrTable[[#This Row],[Plug Type]] = "MTM"))</f>
        <v>0</v>
      </c>
      <c r="BB70" s="80" t="b">
        <f>AND(CagrTable[[#This Row],[Visible]],NOT(CagrTable[[#This Row],[Is Open]]),NOT(CagrTable[[#This Row],[Plug Type]] = "MC"),CagrTable[[#This Row],[Position]]&lt;&gt;"DIV")</f>
        <v>0</v>
      </c>
      <c r="BC70" s="193">
        <f>IF(AND(CagrTable[[#This Row],[Visible]], CagrTable[[#This Row],[Plug Type]] = "MC"), CagrTable[[#This Row],[Basis]], 0)</f>
        <v>0</v>
      </c>
      <c r="BD70" s="182">
        <f>IF(CagrTable[[#This Row],[Is PLUG]], 0, CagrTable[[#This Row],[Proceeds]] - CagrTable[[#This Row],[Basis]])</f>
        <v>286.47000000000003</v>
      </c>
      <c r="BE70" s="180">
        <f>IF(AND(OR(CagrTable[[#This Row],[Is Short Call]],CagrTable[[#This Row],[Is Short Put]])), CagrTable[[#This Row],[Proceeds]], 0)</f>
        <v>306.74</v>
      </c>
      <c r="BF70" s="180">
        <f>IF(AND(OR(CagrTable[[#This Row],[Is Short Call]],CagrTable[[#This Row],[Is Short Put]])), CagrTable[[#This Row],[Basis]], 0)</f>
        <v>20.27</v>
      </c>
      <c r="BG70" s="173">
        <f>IF(CagrTable[[#This Row],[Covered Short Share Equivalent]] &gt; 0,-1 * CagrTable[[#This Row],[Premium Input]] / CagrTable[[#This Row],[Covered Short Share Equivalent]], 0)</f>
        <v>-0.15337000000000001</v>
      </c>
      <c r="BH70" s="173">
        <f>IF(CagrTable[[#This Row],[Covered Short Share Equivalent]] &gt; 0, CagrTable[[#This Row],[Premium Offset Input]] / CagrTable[[#This Row],[Covered Short Share Equivalent]], 0)</f>
        <v>1.0135E-2</v>
      </c>
      <c r="BI70" s="173">
        <f>SUM(CagrTable[[#This Row],[Premium ACB]:[Premium Offset ACB]])</f>
        <v>-0.143235</v>
      </c>
      <c r="BJ70" s="173">
        <f>IF(CagrTable[[#This Row],[Is Naked Short]],-1 * CagrTable[[#This Row],[Strike Price]] - (CagrTable[[#This Row],[Proceeds]] / CagrTable[[#This Row],[Naked Short Share Equivalent]]), 0)</f>
        <v>0</v>
      </c>
      <c r="BK70" s="173">
        <f>IF(CagrTable[[#This Row],[Is Short Put]], CagrTable[[#This Row],[Strike Price]] + CagrTable[[#This Row],[Net Short Premium ACB]], 0)</f>
        <v>0</v>
      </c>
      <c r="BL70" s="173">
        <f>IF(AND(CagrTable[[#This Row],[Is Long Call]], NOT(CagrTable[[#This Row],[Is PLUG]])), -1 * CagrTable[[#This Row],[P&amp;L]]/(CagrTable[[#This Row],[Qty]] * 100), 0)</f>
        <v>0</v>
      </c>
      <c r="BM70" s="173">
        <f>IF(AND(NOT(CagrTable[[#This Row],[Is Option]]), NOT(CagrTable[[#This Row],[Is PLUG]]), OR(CagrTable[[#This Row],[Is Open]], CagrTable[[#This Row],[Is DIV]]), N(CagrTable[[#This Row],[Qty]])&lt;&gt;0), -CagrTable[[#This Row],[P&amp;L]]/CagrTable[[#This Row],[Qty]], 0)</f>
        <v>0</v>
      </c>
      <c r="BN70" s="173" t="b">
        <f>AND(_Total_ACB_Shares&lt;&gt;0, NOT(CagrTable[[#This Row],[Is PLUG]]))</f>
        <v>0</v>
      </c>
      <c r="BO70" s="173">
        <f>IF(OR(_Total_ACB_Shares=0, CagrTable[[#This Row],[Is PLUG]]), 0, (CagrTable[[#This Row],[ACB]] * CagrTable[[#This Row],[Qty]] * IF(CagrTable[[#This Row],[Is Option]], 100, 1))/ _Total_ACB_Shares)</f>
        <v>0</v>
      </c>
      <c r="BP70" s="184">
        <f t="shared" si="5"/>
        <v>1</v>
      </c>
      <c r="BQ70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-0.143235</v>
      </c>
      <c r="BR70" s="174">
        <f>CagrTable[[#This Row],[Prelim Weighted ACB]] * CagrTable[[#This Row],[ACB Sign]]</f>
        <v>0</v>
      </c>
      <c r="BS70" s="62">
        <f>CagrTable[[#This Row],[Proceeds]] - CagrTable[[#This Row],[Basis]]</f>
        <v>286.47000000000003</v>
      </c>
      <c r="BT70" s="91" t="s">
        <v>70</v>
      </c>
      <c r="BU70" s="63" t="s">
        <v>62</v>
      </c>
      <c r="BV70" s="63" t="s">
        <v>71</v>
      </c>
      <c r="BW70" s="63" t="s">
        <v>87</v>
      </c>
      <c r="BX70" s="27"/>
      <c r="BY70" s="58">
        <v>11.4</v>
      </c>
      <c r="BZ70" s="58">
        <v>0.16</v>
      </c>
      <c r="CA70" s="100">
        <v>46223.458101851851</v>
      </c>
      <c r="CB70" s="58">
        <v>0.27</v>
      </c>
      <c r="CC70" s="58">
        <v>0.15</v>
      </c>
      <c r="CD70" s="65">
        <v>8</v>
      </c>
      <c r="CE70" s="83"/>
      <c r="CF70" s="66" t="s">
        <v>73</v>
      </c>
      <c r="CG70" s="58"/>
      <c r="CH70" s="66" t="s">
        <v>422</v>
      </c>
      <c r="CI70" s="66" t="s">
        <v>69</v>
      </c>
      <c r="CJ70" s="66"/>
      <c r="CK70" s="58">
        <v>10.95</v>
      </c>
      <c r="CL70" s="58">
        <v>0.01</v>
      </c>
      <c r="CM70" s="64">
        <v>46232.530243055553</v>
      </c>
      <c r="CN70" s="58">
        <v>0.03</v>
      </c>
      <c r="CO70" s="58">
        <v>0.01</v>
      </c>
      <c r="CP70" s="67">
        <v>100</v>
      </c>
      <c r="CQ70" s="82"/>
      <c r="CR70" s="58" t="s">
        <v>73</v>
      </c>
      <c r="CS70" s="58"/>
      <c r="CT70" s="66" t="s">
        <v>428</v>
      </c>
      <c r="CU70" s="73"/>
      <c r="CV70" s="181" t="s">
        <v>423</v>
      </c>
      <c r="CW70" s="1"/>
      <c r="CX70" s="1"/>
      <c r="DC70" s="19"/>
      <c r="DL70" s="13"/>
    </row>
    <row r="71" spans="1:116" ht="12.75" hidden="1" customHeight="1">
      <c r="A71" s="69" t="s">
        <v>274</v>
      </c>
      <c r="B71" s="189" t="s">
        <v>67</v>
      </c>
      <c r="C71" s="88">
        <v>20</v>
      </c>
      <c r="D71" s="70">
        <v>3</v>
      </c>
      <c r="E71" s="1" t="str">
        <f>CONCATENATE(CagrTable[[#This Row],[Symbol]], CagrTable[[#This Row],[ID]])</f>
        <v>UUUU3</v>
      </c>
      <c r="F71" s="55"/>
      <c r="G71" s="56">
        <v>46248.729166666664</v>
      </c>
      <c r="H71" s="58">
        <v>0</v>
      </c>
      <c r="I71" s="57">
        <f>IF(ISNUMBER(CagrTable[[#This Row],[Qty]]),CagrTable[[#This Row],[Basis]] /CagrTable[[#This Row],[Qty]], "")</f>
        <v>0</v>
      </c>
      <c r="J71" s="56">
        <v>46244.426145833335</v>
      </c>
      <c r="K71" s="58">
        <v>366.73</v>
      </c>
      <c r="L71" s="78">
        <f>IF(ISNUMBER(CagrTable[[#This Row],[Qty]]),CagrTable[[#This Row],[Proceeds]] / CagrTable[[#This Row],[Qty]], "")</f>
        <v>18.336500000000001</v>
      </c>
      <c r="M71" s="77">
        <f>IF(CagrTable[[#This Row],[Is Open]], CagrTable[[#This Row],[Date Opened]], CagrTable[[#This Row],[Date Closed]])</f>
        <v>46244.426145833335</v>
      </c>
      <c r="N71" s="101"/>
      <c r="O71"/>
      <c r="P71" s="177"/>
      <c r="Q71" s="176"/>
      <c r="R71" s="71">
        <f>IF(CagrTable[[#This Row],[Sell Date]]=CagrTable[[#This Row],[Acquire Date]], 1, ABS(CagrTable[[#This Row],[Sell Date]] - CagrTable[[#This Row],[Acquire Date]]))</f>
        <v>4.3030208333293558</v>
      </c>
      <c r="S71" s="72">
        <f>CagrTable[[#This Row],[Days Held]] / 30</f>
        <v>0.14343402777764519</v>
      </c>
      <c r="T71" s="178">
        <v>13.27</v>
      </c>
      <c r="U71" s="179"/>
      <c r="V71" s="158">
        <v>46248.729166666664</v>
      </c>
      <c r="W71" s="60">
        <v>15.5</v>
      </c>
      <c r="X71" s="75" t="s">
        <v>68</v>
      </c>
      <c r="Y71" s="61" t="s">
        <v>445</v>
      </c>
      <c r="Z71" s="85" t="str">
        <f>IF(OR(CagrTable[[#This Row],[Is Closed]]="", CagrTable[[#This Row],[Is Closed]]="H"),"Y","")</f>
        <v>Y</v>
      </c>
      <c r="AA71" s="85" t="str">
        <f>IF(OR(CagrTable[[#This Row],[Position]]="LNG",CagrTable[[#This Row],[Position]]="SHRT"),"Equity","Option")</f>
        <v>Option</v>
      </c>
      <c r="AB71" s="84" t="str">
        <f>IF(CagrTable[[#This Row],[Pricing Update Included]]="Y",IF(CagrTable[[#This Row],[Pricing Update Asset]]="Equity",CagrTable[[#This Row],[Symbol]],CagrTable[[#This Row],[Option Symbol]]),"")</f>
        <v>UUUU260814C00015500</v>
      </c>
      <c r="AC71" s="80">
        <f>SUBTOTAL(103,CagrTable[[#This Row],[Symbol]])</f>
        <v>0</v>
      </c>
      <c r="AD71" s="80" t="b">
        <f>LEFT(CagrTable[[#This Row],[Position]],1)="L"</f>
        <v>0</v>
      </c>
      <c r="AE71" s="80" t="b">
        <f>LEFT(CagrTable[[#This Row],[Position]],1)="S"</f>
        <v>1</v>
      </c>
      <c r="AF71" s="80" t="b">
        <f>(CagrTable[[#This Row],[Position]] = "DIV")</f>
        <v>0</v>
      </c>
      <c r="AG71" s="80" t="b">
        <f>CagrTable[[#This Row],[Position]] = "PLUG"</f>
        <v>0</v>
      </c>
      <c r="AH71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0</v>
      </c>
      <c r="AI71" s="80" t="b">
        <f>CagrTable[[#This Row],[Is Closed]] &lt;&gt; "Y"</f>
        <v>1</v>
      </c>
      <c r="AJ71" s="84" t="b">
        <f>OR(CagrTable[[#This Row],[Option Type]]&lt;&gt;"",
  CagrTable[[#This Row],[Position]]="LC", CagrTable[[#This Row],[Position]]="SC",
  CagrTable[[#This Row],[Position]]="LP",CagrTable[[#This Row],[Position]]="SP"
)</f>
        <v>1</v>
      </c>
      <c r="AK71" s="84" t="b">
        <f>AND(CagrTable[[#This Row],[Option Type]] = "C", CagrTable[[#This Row],[Is Short]])</f>
        <v>1</v>
      </c>
      <c r="AL71" s="84" t="b">
        <f>AND(CagrTable[[#This Row],[Is Short Call]],CagrTable[[#This Row],[Is Naked Call]] = TRUE)</f>
        <v>0</v>
      </c>
      <c r="AM71" s="84" t="b">
        <f>AND(CagrTable[[#This Row],[Option Type]] = "P", CagrTable[[#This Row],[Is Short]])</f>
        <v>0</v>
      </c>
      <c r="AN71" s="84" t="b">
        <f>CagrTable[[#This Row],[Position]]= "LC"</f>
        <v>0</v>
      </c>
      <c r="AO71" s="169">
        <f>IF(AND(CagrTable[[#This Row],[Is Long]], NOT(CagrTable[[#This Row],[Position]]="LP")), CagrTable[[#This Row],[Qty]] * IF(CagrTable[[#This Row],[Is Option]], 100, 1), 0)</f>
        <v>0</v>
      </c>
      <c r="AP71" s="169">
        <f>IF(CagrTable[[#This Row],[Is Naked Short]], CagrTable[[#This Row],[Qty]] * -100, 0)</f>
        <v>0</v>
      </c>
      <c r="AQ71" s="169">
        <f>IF(CagrTable[[#This Row],[Is ACB Put]], CagrTable[[#This Row],[Qty]] * -100, 0)</f>
        <v>0</v>
      </c>
      <c r="AR71" s="169">
        <f>IF(AND(CagrTable[[#This Row],[Is Short]], NOT(CagrTable[[#This Row],[Is Naked Short]])), CagrTable[[#This Row],[Qty]] * IF(CagrTable[[#This Row],[Is Option]], 100, 1), 0)</f>
        <v>2000</v>
      </c>
      <c r="AS71" s="169">
        <f>SUM(CagrTable[[#This Row],[Long Share Equivalent]:[Covered Short Share Equivalent]])</f>
        <v>2000</v>
      </c>
      <c r="AT71" s="169">
        <f>IF(CagrTable[[#This Row],[Is Open]], SUM(CagrTable[[#This Row],[Long Share Equivalent]:[ACB Put Share Equivalent]]), 0)</f>
        <v>0</v>
      </c>
      <c r="AU71" s="166">
        <f>IF(OR(CagrTable[[#This Row],[Is Long]], CagrTable[[#This Row],[Is DIV]]), CagrTable[[#This Row],[Acquire Date]], CagrTable[[#This Row],[Sell Date]])</f>
        <v>46244.426145833335</v>
      </c>
      <c r="AV71" s="166" t="str">
        <f>IF(NOT(CagrTable[[#This Row],[Is Option]]), IF(OR(CagrTable[[#This Row],[Is Long]], CagrTable[[#This Row],[Is DIV]]), CagrTable[[#This Row],[Sell Date]], CagrTable[[#This Row],[Acquire Date]]), "")</f>
        <v/>
      </c>
      <c r="AW71" s="166">
        <f ca="1">IF(AND(CagrTable[[#This Row],[Is Option]], CagrTable[[#This Row],[Is Open]]), IF(CagrTable[[#This Row],[Is Long Call]], CagrTable[[#This Row],[Exp Date]], MIN(MockToday, CagrTable[[#This Row],[Exp Date]])), "")</f>
        <v>46248.729166666664</v>
      </c>
      <c r="AX71" s="166" t="str">
        <f>IF(AND(CagrTable[[#This Row],[Is Option]], NOT(CagrTable[[#This Row],[Is Open]])), IF(CagrTable[[#This Row],[Is Long]], CagrTable[[#This Row],[Sell Date]], CagrTable[[#This Row],[Acquire Date]]), "")</f>
        <v/>
      </c>
      <c r="AY71" s="166" cm="1">
        <f t="array" aca="1" ref="AY71" ca="1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46248.729166666664</v>
      </c>
      <c r="AZ71" s="80" t="b">
        <f>IF(AND(CagrTable[[#This Row],[Visible]], CagrTable[[#This Row],[Is Open]]), OR(CagrTable[[#This Row],[Is Long]], AND(CagrTable[[#This Row],[Is Short]], CagrTable[[#This Row],[Is Naked Call]])), FALSE)</f>
        <v>0</v>
      </c>
      <c r="BA71" s="80" t="b">
        <f>AND(CagrTable[[#This Row],[Visible]], OR(NOT(CagrTable[[#This Row],[Is PLUG]]), CagrTable[[#This Row],[Plug Type]] = "MTM"))</f>
        <v>0</v>
      </c>
      <c r="BB71" s="80" t="b">
        <f>AND(CagrTable[[#This Row],[Visible]],NOT(CagrTable[[#This Row],[Is Open]]),NOT(CagrTable[[#This Row],[Plug Type]] = "MC"),CagrTable[[#This Row],[Position]]&lt;&gt;"DIV")</f>
        <v>0</v>
      </c>
      <c r="BC71" s="193">
        <f>IF(AND(CagrTable[[#This Row],[Visible]], CagrTable[[#This Row],[Plug Type]] = "MC"), CagrTable[[#This Row],[Basis]], 0)</f>
        <v>0</v>
      </c>
      <c r="BD71" s="182">
        <f>IF(CagrTable[[#This Row],[Is PLUG]], 0, CagrTable[[#This Row],[Proceeds]] - CagrTable[[#This Row],[Basis]])</f>
        <v>366.73</v>
      </c>
      <c r="BE71" s="180">
        <f>IF(AND(OR(CagrTable[[#This Row],[Is Short Call]],CagrTable[[#This Row],[Is Short Put]])), CagrTable[[#This Row],[Proceeds]], 0)</f>
        <v>366.73</v>
      </c>
      <c r="BF71" s="180">
        <f>IF(AND(OR(CagrTable[[#This Row],[Is Short Call]],CagrTable[[#This Row],[Is Short Put]])), CagrTable[[#This Row],[Basis]], 0)</f>
        <v>0</v>
      </c>
      <c r="BG71" s="173">
        <f>IF(CagrTable[[#This Row],[Covered Short Share Equivalent]] &gt; 0,-1 * CagrTable[[#This Row],[Premium Input]] / CagrTable[[#This Row],[Covered Short Share Equivalent]], 0)</f>
        <v>-0.183365</v>
      </c>
      <c r="BH71" s="173">
        <f>IF(CagrTable[[#This Row],[Covered Short Share Equivalent]] &gt; 0, CagrTable[[#This Row],[Premium Offset Input]] / CagrTable[[#This Row],[Covered Short Share Equivalent]], 0)</f>
        <v>0</v>
      </c>
      <c r="BI71" s="173">
        <f>SUM(CagrTable[[#This Row],[Premium ACB]:[Premium Offset ACB]])</f>
        <v>-0.183365</v>
      </c>
      <c r="BJ71" s="173">
        <f>IF(CagrTable[[#This Row],[Is Naked Short]],-1 * CagrTable[[#This Row],[Strike Price]] - (CagrTable[[#This Row],[Proceeds]] / CagrTable[[#This Row],[Naked Short Share Equivalent]]), 0)</f>
        <v>0</v>
      </c>
      <c r="BK71" s="173">
        <f>IF(CagrTable[[#This Row],[Is Short Put]], CagrTable[[#This Row],[Strike Price]] + CagrTable[[#This Row],[Net Short Premium ACB]], 0)</f>
        <v>0</v>
      </c>
      <c r="BL71" s="173">
        <f>IF(AND(CagrTable[[#This Row],[Is Long Call]], NOT(CagrTable[[#This Row],[Is PLUG]])), -1 * CagrTable[[#This Row],[P&amp;L]]/(CagrTable[[#This Row],[Qty]] * 100), 0)</f>
        <v>0</v>
      </c>
      <c r="BM71" s="173">
        <f>IF(AND(NOT(CagrTable[[#This Row],[Is Option]]), NOT(CagrTable[[#This Row],[Is PLUG]]), CagrTable[[#This Row],[Is Open]]), -CagrTable[[#This Row],[P&amp;L]]/CagrTable[[#This Row],[Qty]], 0)</f>
        <v>0</v>
      </c>
      <c r="BN71" s="173" t="b">
        <f>AND(_Total_ACB_Shares&lt;&gt;0, NOT(CagrTable[[#This Row],[Is PLUG]]))</f>
        <v>0</v>
      </c>
      <c r="BO71" s="173">
        <f>IF(OR(_Total_ACB_Shares=0, CagrTable[[#This Row],[Is PLUG]]), 0, (CagrTable[[#This Row],[ACB]] * CagrTable[[#This Row],[Qty]] * IF(CagrTable[[#This Row],[Is Option]], 100, 1))/ _Total_ACB_Shares)</f>
        <v>0</v>
      </c>
      <c r="BP71" s="184">
        <f t="shared" si="5"/>
        <v>1</v>
      </c>
      <c r="BQ71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-0.183365</v>
      </c>
      <c r="BR71" s="174">
        <f>CagrTable[[#This Row],[Prelim Weighted ACB]] * CagrTable[[#This Row],[ACB Sign]]</f>
        <v>0</v>
      </c>
      <c r="BS71" s="62">
        <f>CagrTable[[#This Row],[Proceeds]] - CagrTable[[#This Row],[Basis]]</f>
        <v>366.73</v>
      </c>
      <c r="BT71" s="91" t="s">
        <v>70</v>
      </c>
      <c r="BU71" s="63" t="s">
        <v>62</v>
      </c>
      <c r="BV71" s="63" t="s">
        <v>71</v>
      </c>
      <c r="BW71" s="63" t="s">
        <v>299</v>
      </c>
      <c r="BX71" s="27"/>
      <c r="BY71" s="58">
        <v>14.35</v>
      </c>
      <c r="BZ71" s="58">
        <v>0.19</v>
      </c>
      <c r="CA71" s="100">
        <v>46244.426145833335</v>
      </c>
      <c r="CB71" s="58">
        <v>0.22</v>
      </c>
      <c r="CC71" s="58">
        <v>0.1</v>
      </c>
      <c r="CD71" s="65">
        <v>75</v>
      </c>
      <c r="CE71" s="83"/>
      <c r="CF71" s="66" t="s">
        <v>73</v>
      </c>
      <c r="CG71" s="58"/>
      <c r="CH71" s="66" t="s">
        <v>446</v>
      </c>
      <c r="CI71" s="66" t="s">
        <v>65</v>
      </c>
      <c r="CJ71" s="66"/>
      <c r="CK71" s="58">
        <v>15.1</v>
      </c>
      <c r="CL71" s="58"/>
      <c r="CM71" s="64">
        <v>46248.666666666664</v>
      </c>
      <c r="CN71" s="58"/>
      <c r="CO71" s="58"/>
      <c r="CP71" s="67"/>
      <c r="CQ71" s="82"/>
      <c r="CR71" s="58"/>
      <c r="CS71" s="58"/>
      <c r="CT71" s="66" t="s">
        <v>76</v>
      </c>
      <c r="CU71" s="73"/>
      <c r="CV71" s="181" t="s">
        <v>447</v>
      </c>
      <c r="CW71" s="1"/>
      <c r="CX71" s="1"/>
      <c r="DC71" s="19"/>
      <c r="DL71" s="13"/>
    </row>
    <row r="72" spans="1:116" ht="12.75" hidden="1" customHeight="1">
      <c r="A72" s="69" t="s">
        <v>274</v>
      </c>
      <c r="B72" s="189" t="s">
        <v>100</v>
      </c>
      <c r="C72" s="88">
        <v>1000</v>
      </c>
      <c r="D72" s="70">
        <v>3</v>
      </c>
      <c r="E72" s="1" t="str">
        <f>CONCATENATE(CagrTable[[#This Row],[Symbol]], CagrTable[[#This Row],[ID]])</f>
        <v>UUUU3</v>
      </c>
      <c r="F72" s="55"/>
      <c r="G72" s="56">
        <v>46218</v>
      </c>
      <c r="H72" s="58">
        <v>0</v>
      </c>
      <c r="I72" s="57">
        <f>IF(ISNUMBER(CagrTable[[#This Row],[Qty]]),CagrTable[[#This Row],[Basis]] /CagrTable[[#This Row],[Qty]], "")</f>
        <v>0</v>
      </c>
      <c r="J72" s="56">
        <v>46250</v>
      </c>
      <c r="K72" s="58">
        <f>2000 * 15.1</f>
        <v>30200</v>
      </c>
      <c r="L72" s="78">
        <f>IF(ISNUMBER(CagrTable[[#This Row],[Qty]]),CagrTable[[#This Row],[Proceeds]] / CagrTable[[#This Row],[Qty]], "")</f>
        <v>30.2</v>
      </c>
      <c r="M72" s="77">
        <f>IF(CagrTable[[#This Row],[Is Open]], CagrTable[[#This Row],[Date Opened]], CagrTable[[#This Row],[Date Closed]])</f>
        <v>46250</v>
      </c>
      <c r="N72" s="101" t="s">
        <v>230</v>
      </c>
      <c r="O72"/>
      <c r="P72" s="177"/>
      <c r="Q72" s="176"/>
      <c r="R72" s="71">
        <f>IF(CagrTable[[#This Row],[Sell Date]]=CagrTable[[#This Row],[Acquire Date]], 1, ABS(CagrTable[[#This Row],[Sell Date]] - CagrTable[[#This Row],[Acquire Date]]))</f>
        <v>32</v>
      </c>
      <c r="S72" s="59">
        <f>CagrTable[[#This Row],[Days Held]] / 30</f>
        <v>1.0666666666666667</v>
      </c>
      <c r="T72" s="178"/>
      <c r="U72" s="179"/>
      <c r="V72" s="158"/>
      <c r="W72" s="60"/>
      <c r="X72" s="75"/>
      <c r="Y72" s="61"/>
      <c r="Z72" s="85" t="str">
        <f>IF(OR(CagrTable[[#This Row],[Is Closed]]="", CagrTable[[#This Row],[Is Closed]]="H"),"Y","")</f>
        <v>Y</v>
      </c>
      <c r="AA72" s="85" t="str">
        <f>IF(OR(CagrTable[[#This Row],[Position]]="LNG",CagrTable[[#This Row],[Position]]="SHRT"),"Equity","Option")</f>
        <v>Option</v>
      </c>
      <c r="AB72" s="84">
        <f>IF(CagrTable[[#This Row],[Pricing Update Included]]="Y",IF(CagrTable[[#This Row],[Pricing Update Asset]]="Equity",CagrTable[[#This Row],[Symbol]],CagrTable[[#This Row],[Option Symbol]]),"")</f>
        <v>0</v>
      </c>
      <c r="AC72" s="80">
        <f>SUBTOTAL(103,CagrTable[[#This Row],[Symbol]])</f>
        <v>0</v>
      </c>
      <c r="AD72" s="80" t="b">
        <f>LEFT(CagrTable[[#This Row],[Position]],1)="L"</f>
        <v>0</v>
      </c>
      <c r="AE72" s="80" t="b">
        <f>LEFT(CagrTable[[#This Row],[Position]],1)="S"</f>
        <v>0</v>
      </c>
      <c r="AF72" s="80" t="b">
        <f>(CagrTable[[#This Row],[Position]] = "DIV")</f>
        <v>0</v>
      </c>
      <c r="AG72" s="80" t="b">
        <f>CagrTable[[#This Row],[Position]] = "PLUG"</f>
        <v>1</v>
      </c>
      <c r="AH72" s="80" t="b">
        <f>OR(CagrTable[[#This Row],[Plug Type]]="PUT", CagrTable[[#This Row],[Plug Type]]="CLL",  CagrTable[[#This Row],[Plug Type]]="EXZ",  CagrTable[[#This Row],[Plug Type]]="MC",  CagrTable[[#This Row],[Plug Type]]="MTM",  CagrTable[[#This Row],[Plug Type]]="ROLL",  CagrTable[[#This Row],[Plug Type]]="SL")</f>
        <v>1</v>
      </c>
      <c r="AI72" s="80" t="b">
        <f>CagrTable[[#This Row],[Is Closed]] &lt;&gt; "Y"</f>
        <v>1</v>
      </c>
      <c r="AJ72" s="84" t="b">
        <f>OR(CagrTable[[#This Row],[Option Type]]&lt;&gt;"",
  CagrTable[[#This Row],[Position]]="LC", CagrTable[[#This Row],[Position]]="SC",
  CagrTable[[#This Row],[Position]]="LP",CagrTable[[#This Row],[Position]]="SP"
)</f>
        <v>0</v>
      </c>
      <c r="AK72" s="84" t="b">
        <f>AND(CagrTable[[#This Row],[Option Type]] = "C", CagrTable[[#This Row],[Is Short]])</f>
        <v>0</v>
      </c>
      <c r="AL72" s="84" t="b">
        <f>AND(CagrTable[[#This Row],[Is Short Call]],CagrTable[[#This Row],[Is Naked Call]] = TRUE)</f>
        <v>0</v>
      </c>
      <c r="AM72" s="84" t="b">
        <f>AND(CagrTable[[#This Row],[Option Type]] = "P", CagrTable[[#This Row],[Is Short]])</f>
        <v>0</v>
      </c>
      <c r="AN72" s="84" t="b">
        <f>CagrTable[[#This Row],[Position]]= "LC"</f>
        <v>0</v>
      </c>
      <c r="AO72" s="169">
        <f>IF(AND(CagrTable[[#This Row],[Is Long]], NOT(CagrTable[[#This Row],[Position]]="LP")), CagrTable[[#This Row],[Qty]] * IF(CagrTable[[#This Row],[Is Option]], 100, 1), 0)</f>
        <v>0</v>
      </c>
      <c r="AP72" s="169">
        <f>IF(CagrTable[[#This Row],[Is Naked Short]], CagrTable[[#This Row],[Qty]] * -100, 0)</f>
        <v>0</v>
      </c>
      <c r="AQ72" s="169">
        <f>IF(CagrTable[[#This Row],[Is ACB Put]], CagrTable[[#This Row],[Qty]] * -100, 0)</f>
        <v>0</v>
      </c>
      <c r="AR72" s="169">
        <f>IF(AND(CagrTable[[#This Row],[Is Short]], NOT(CagrTable[[#This Row],[Is Naked Short]])), CagrTable[[#This Row],[Qty]] * IF(CagrTable[[#This Row],[Is Option]], 100, 1), 0)</f>
        <v>0</v>
      </c>
      <c r="AS72" s="169">
        <f>SUM(CagrTable[[#This Row],[Long Share Equivalent]:[Covered Short Share Equivalent]])</f>
        <v>0</v>
      </c>
      <c r="AT72" s="169">
        <f>IF(CagrTable[[#This Row],[Is Open]], SUM(CagrTable[[#This Row],[Long Share Equivalent]:[ACB Put Share Equivalent]]), 0)</f>
        <v>0</v>
      </c>
      <c r="AU72" s="166">
        <f>IF(OR(CagrTable[[#This Row],[Is Long]], CagrTable[[#This Row],[Is DIV]]), CagrTable[[#This Row],[Acquire Date]], CagrTable[[#This Row],[Sell Date]])</f>
        <v>46250</v>
      </c>
      <c r="AV72" s="166">
        <f>IF(NOT(CagrTable[[#This Row],[Is Option]]), IF(OR(CagrTable[[#This Row],[Is Long]], CagrTable[[#This Row],[Is DIV]]), CagrTable[[#This Row],[Sell Date]], CagrTable[[#This Row],[Acquire Date]]), "")</f>
        <v>46218</v>
      </c>
      <c r="AW72" s="166" t="str">
        <f>IF(AND(CagrTable[[#This Row],[Is Option]], CagrTable[[#This Row],[Is Open]]), IF(CagrTable[[#This Row],[Is Long Call]], CagrTable[[#This Row],[Exp Date]], MIN(MockToday, CagrTable[[#This Row],[Exp Date]])), "")</f>
        <v/>
      </c>
      <c r="AX72" s="166" t="str">
        <f>IF(AND(CagrTable[[#This Row],[Is Option]], NOT(CagrTable[[#This Row],[Is Open]])), IF(CagrTable[[#This Row],[Is Long]], CagrTable[[#This Row],[Sell Date]], CagrTable[[#This Row],[Acquire Date]]), "")</f>
        <v/>
      </c>
      <c r="AY72" s="166" cm="1">
        <f t="array" ref="AY72">_xlfn._xlws.FILTER(CagrTable[[#This Row],[Non Option Date Closed]]:CagrTable[[#This Row],[Close Option Date Closed]], (CagrTable[[#This Row],[Non Option Date Closed]]:CagrTable[[#This Row],[Close Option Date Closed]]&gt;0)*(ISNUMBER(CagrTable[[#This Row],[Non Option Date Closed]]:CagrTable[[#This Row],[Close Option Date Closed]])), "")</f>
        <v>46218</v>
      </c>
      <c r="AZ72" s="80" t="b">
        <f>IF(AND(CagrTable[[#This Row],[Visible]], CagrTable[[#This Row],[Is Open]]), OR(CagrTable[[#This Row],[Is Long]], AND(CagrTable[[#This Row],[Is Short]], CagrTable[[#This Row],[Is Naked Call]])), FALSE)</f>
        <v>0</v>
      </c>
      <c r="BA72" s="80" t="b">
        <f>AND(CagrTable[[#This Row],[Visible]], OR(NOT(CagrTable[[#This Row],[Is PLUG]]), CagrTable[[#This Row],[Plug Type]] = "MTM"))</f>
        <v>0</v>
      </c>
      <c r="BB72" s="80" t="b">
        <f>AND(CagrTable[[#This Row],[Visible]],NOT(CagrTable[[#This Row],[Is Open]]),NOT(CagrTable[[#This Row],[Plug Type]] = "MC"),CagrTable[[#This Row],[Position]]&lt;&gt;"DIV")</f>
        <v>0</v>
      </c>
      <c r="BC72" s="193">
        <f>IF(AND(CagrTable[[#This Row],[Visible]], CagrTable[[#This Row],[Plug Type]] = "MC"), CagrTable[[#This Row],[Basis]], 0)</f>
        <v>0</v>
      </c>
      <c r="BD72" s="182">
        <f>IF(CagrTable[[#This Row],[Is PLUG]], 0, CagrTable[[#This Row],[Proceeds]] - CagrTable[[#This Row],[Basis]])</f>
        <v>0</v>
      </c>
      <c r="BE72" s="180">
        <f>IF(AND(OR(CagrTable[[#This Row],[Is Short Call]],CagrTable[[#This Row],[Is Short Put]])), CagrTable[[#This Row],[Proceeds]], 0)</f>
        <v>0</v>
      </c>
      <c r="BF72" s="180">
        <f>IF(AND(OR(CagrTable[[#This Row],[Is Short Call]],CagrTable[[#This Row],[Is Short Put]])), CagrTable[[#This Row],[Basis]], 0)</f>
        <v>0</v>
      </c>
      <c r="BG72" s="173">
        <f>IF(CagrTable[[#This Row],[Covered Short Share Equivalent]] &gt; 0,-1 * CagrTable[[#This Row],[Premium Input]] / CagrTable[[#This Row],[Covered Short Share Equivalent]], 0)</f>
        <v>0</v>
      </c>
      <c r="BH72" s="173">
        <f>IF(CagrTable[[#This Row],[Covered Short Share Equivalent]] &gt; 0, CagrTable[[#This Row],[Premium Offset Input]] / CagrTable[[#This Row],[Covered Short Share Equivalent]], 0)</f>
        <v>0</v>
      </c>
      <c r="BI72" s="173">
        <f>SUM(CagrTable[[#This Row],[Premium ACB]:[Premium Offset ACB]])</f>
        <v>0</v>
      </c>
      <c r="BJ72" s="173">
        <f>IF(CagrTable[[#This Row],[Is Naked Short]],-1 * CagrTable[[#This Row],[Strike Price]] - (CagrTable[[#This Row],[Proceeds]] / CagrTable[[#This Row],[Naked Short Share Equivalent]]), 0)</f>
        <v>0</v>
      </c>
      <c r="BK72" s="173">
        <f>IF(CagrTable[[#This Row],[Is Short Put]], CagrTable[[#This Row],[Strike Price]] + CagrTable[[#This Row],[Net Short Premium ACB]], 0)</f>
        <v>0</v>
      </c>
      <c r="BL72" s="173">
        <f>IF(AND(CagrTable[[#This Row],[Is Long Call]], NOT(CagrTable[[#This Row],[Is PLUG]])), -1 * CagrTable[[#This Row],[P&amp;L]]/(CagrTable[[#This Row],[Qty]] * 100), 0)</f>
        <v>0</v>
      </c>
      <c r="BM72" s="173">
        <f>IF(AND(NOT(CagrTable[[#This Row],[Is Option]]), NOT(CagrTable[[#This Row],[Is PLUG]]), OR(CagrTable[[#This Row],[Is Open]], CagrTable[[#This Row],[Is DIV]]), N(CagrTable[[#This Row],[Qty]])&lt;&gt;0), -CagrTable[[#This Row],[P&amp;L]]/CagrTable[[#This Row],[Qty]], 0)</f>
        <v>0</v>
      </c>
      <c r="BN72" s="173" t="b">
        <f>AND(_Total_ACB_Shares&lt;&gt;0, NOT(CagrTable[[#This Row],[Is PLUG]]))</f>
        <v>0</v>
      </c>
      <c r="BO72" s="173">
        <f>IF(OR(_Total_ACB_Shares=0, CagrTable[[#This Row],[Is PLUG]]), 0, (CagrTable[[#This Row],[ACB]] * CagrTable[[#This Row],[Qty]] * IF(CagrTable[[#This Row],[Is Option]], 100, 1))/ _Total_ACB_Shares)</f>
        <v>0</v>
      </c>
      <c r="BP72" s="184">
        <f t="shared" si="5"/>
        <v>1</v>
      </c>
      <c r="BQ72" s="174">
        <f>IF(CagrTable[[#This Row],[Is PLUG]], 0, IF(CagrTable[[#This Row],[Naked Call ACB]]&lt;&gt; 0, CagrTable[[#This Row],[Naked Call ACB]], IF(CagrTable[[#This Row],[Is ACB Put]]= TRUE, CagrTable[[#This Row],[Short Put ACB]], CagrTable[[#This Row],[Net Short Premium ACB]] + CagrTable[[#This Row],[Long Option ACB]] + CagrTable[[#This Row],[Equity ACB]])))</f>
        <v>0</v>
      </c>
      <c r="BR72" s="174">
        <f>CagrTable[[#This Row],[Prelim Weighted ACB]] * CagrTable[[#This Row],[ACB Sign]]</f>
        <v>0</v>
      </c>
      <c r="BS72" s="62">
        <f>CagrTable[[#This Row],[Proceeds]] - CagrTable[[#This Row],[Basis]]</f>
        <v>30200</v>
      </c>
      <c r="BT72" s="91" t="s">
        <v>100</v>
      </c>
      <c r="BU72" s="63"/>
      <c r="BV72" s="63"/>
      <c r="BW72" s="63"/>
      <c r="BX72" s="27"/>
      <c r="BY72" s="58"/>
      <c r="BZ72" s="58"/>
      <c r="CA72" s="100"/>
      <c r="CB72" s="58"/>
      <c r="CC72" s="58"/>
      <c r="CD72" s="65"/>
      <c r="CE72" s="82"/>
      <c r="CF72" s="66"/>
      <c r="CG72" s="58"/>
      <c r="CH72" s="66"/>
      <c r="CI72" s="66"/>
      <c r="CJ72" s="66"/>
      <c r="CK72" s="58"/>
      <c r="CL72" s="58"/>
      <c r="CM72" s="64"/>
      <c r="CN72" s="58"/>
      <c r="CO72" s="58"/>
      <c r="CP72" s="67"/>
      <c r="CQ72" s="82"/>
      <c r="CR72" s="58"/>
      <c r="CS72" s="58"/>
      <c r="CT72" s="66"/>
      <c r="CU72" s="68"/>
      <c r="CV72" s="181" t="s">
        <v>444</v>
      </c>
      <c r="CW72" s="1"/>
      <c r="CX72" s="1"/>
      <c r="DC72" s="19"/>
      <c r="DL72" s="13"/>
    </row>
    <row r="73" spans="1:116" ht="12.75" customHeight="1">
      <c r="A73"/>
      <c r="B73" s="11">
        <f>SUBTOTAL(103,CagrTable[Position])</f>
        <v>5</v>
      </c>
      <c r="C73" s="31"/>
      <c r="D73" s="11"/>
      <c r="E73" s="11"/>
      <c r="F73" s="1"/>
      <c r="G73" s="28"/>
      <c r="H73" s="29">
        <f>SUBTOTAL(109,CagrTable[Basis])</f>
        <v>26894.33</v>
      </c>
      <c r="I73" s="30"/>
      <c r="J73" s="28"/>
      <c r="K73" s="29">
        <f>SUBTOTAL(109,CagrTable[Proceeds])</f>
        <v>28900.78</v>
      </c>
      <c r="L73" s="11"/>
      <c r="M73" s="11"/>
      <c r="N73" s="30"/>
      <c r="O73" s="52"/>
      <c r="P73" s="11"/>
      <c r="Q73" s="52">
        <f>SUBTOTAL(109,CagrTable[Is Naked Call])</f>
        <v>0</v>
      </c>
      <c r="R73" s="31">
        <f>SUBTOTAL(104,CagrTable[Days Held])</f>
        <v>65.083333333335759</v>
      </c>
      <c r="S73" s="32">
        <f>SUBTOTAL(101,CagrTable[Months Held])</f>
        <v>1.1817766203703166</v>
      </c>
      <c r="T73" s="96">
        <f>SUBTOTAL(109,CagrTable[Entry Fees])</f>
        <v>2.7</v>
      </c>
      <c r="U73" s="33">
        <f>SUBTOTAL(109,CagrTable[Exit Fees])</f>
        <v>1.85</v>
      </c>
      <c r="V73" s="159"/>
      <c r="W73" s="33"/>
      <c r="X73" s="33"/>
      <c r="Y73" s="33"/>
      <c r="Z73" s="33"/>
      <c r="AA73" s="33"/>
      <c r="AB73" s="33"/>
      <c r="AC73" s="11"/>
      <c r="AD73" s="11"/>
      <c r="AE73" s="11"/>
      <c r="AF73" s="11"/>
      <c r="AG73" s="11"/>
      <c r="AH73" s="11"/>
      <c r="AI73" s="11"/>
      <c r="AJ73" s="33"/>
      <c r="AK73" s="33"/>
      <c r="AL73" s="33"/>
      <c r="AM73" s="33"/>
      <c r="AN73" s="33"/>
      <c r="AO73" s="11"/>
      <c r="AP73" s="33">
        <f>SUBTOTAL(109,CagrTable[Naked Short Share Equivalent])</f>
        <v>0</v>
      </c>
      <c r="AQ73" s="33">
        <f>SUBTOTAL(109,CagrTable[ACB Put Share Equivalent])</f>
        <v>0</v>
      </c>
      <c r="AR73" s="11"/>
      <c r="AS73" s="33"/>
      <c r="AT73" s="33">
        <f>SUBTOTAL(109,CagrTable[Share Equivalent])</f>
        <v>0</v>
      </c>
      <c r="AU73" s="159">
        <f>SUBTOTAL(105,CagrTable[Date Opened])</f>
        <v>46134.552708333336</v>
      </c>
      <c r="AV73" s="11"/>
      <c r="AW73" s="11"/>
      <c r="AX73" s="159"/>
      <c r="AY73" s="159">
        <f>SUBTOTAL(104,CagrTable[Date Closed])</f>
        <v>46255.75</v>
      </c>
      <c r="AZ73" s="11"/>
      <c r="BA73" s="11"/>
      <c r="BB73" s="11"/>
      <c r="BC73" s="30">
        <f>SUBTOTAL(109,CagrTable[MC Basis])</f>
        <v>0</v>
      </c>
      <c r="BD73" s="183">
        <f>SUBTOTAL(109,CagrTable[ACB P&amp;L])</f>
        <v>2006.4499999999994</v>
      </c>
      <c r="BE73" s="33"/>
      <c r="BF73" s="33"/>
      <c r="BG73" s="33"/>
      <c r="BH73" s="33"/>
      <c r="BI73" s="33"/>
      <c r="BJ73" s="33">
        <f>SUBTOTAL(109,CagrTable[Naked Call ACB])</f>
        <v>0</v>
      </c>
      <c r="BK73" s="30">
        <f>SUBTOTAL(109,CagrTable[Short Put ACB])</f>
        <v>238.1567</v>
      </c>
      <c r="BL73" s="33"/>
      <c r="BM73" s="33"/>
      <c r="BN73" s="33"/>
      <c r="BO73" s="33"/>
      <c r="BP73" s="33"/>
      <c r="BQ73" s="32"/>
      <c r="BR73" s="32">
        <f>SUBTOTAL(109,CagrTable[Weighted ACB])</f>
        <v>0</v>
      </c>
      <c r="BS73" s="34">
        <f>SUBTOTAL(109,CagrTable[P&amp;L])</f>
        <v>2006.4499999999994</v>
      </c>
      <c r="BT73" s="11"/>
      <c r="BU73" s="35"/>
      <c r="BV73" s="35"/>
      <c r="BW73" s="35"/>
      <c r="BX73" s="35"/>
      <c r="BY73" s="35"/>
      <c r="BZ73" s="35"/>
      <c r="CA73" s="47"/>
      <c r="CB73" s="35"/>
      <c r="CC73" s="35"/>
      <c r="CD73" s="35"/>
      <c r="CE73" s="35"/>
      <c r="CF73" s="35"/>
      <c r="CG73" s="35"/>
      <c r="CH73" s="35"/>
      <c r="CI73" s="35"/>
      <c r="CJ73" s="35"/>
      <c r="CK73" s="95"/>
      <c r="CL73" s="30"/>
      <c r="CM73" s="47"/>
      <c r="CN73" s="30"/>
      <c r="CO73" s="30"/>
      <c r="CP73" s="30"/>
      <c r="CQ73" s="30"/>
      <c r="CR73" s="30"/>
      <c r="CS73" s="30"/>
      <c r="CT73" s="30"/>
      <c r="CU73" s="36"/>
      <c r="CV73" s="11">
        <f>SUBTOTAL(103,CagrTable[GUID Lookup])</f>
        <v>5</v>
      </c>
      <c r="CW73" s="1"/>
      <c r="CX73" s="1"/>
      <c r="DC73" s="19"/>
      <c r="DL73" s="13"/>
    </row>
    <row r="74" spans="1:116" ht="12.75" customHeight="1">
      <c r="G74" s="11"/>
      <c r="H74" s="29"/>
      <c r="K74" s="11"/>
      <c r="L74" s="142" t="s">
        <v>174</v>
      </c>
      <c r="M74" s="142" t="s">
        <v>103</v>
      </c>
      <c r="N74" s="142" t="s">
        <v>184</v>
      </c>
      <c r="P74" s="52"/>
      <c r="Q74" s="52"/>
      <c r="R74" s="31"/>
      <c r="S74" s="32"/>
      <c r="T74" s="96"/>
      <c r="U74" s="33"/>
      <c r="V74" s="159"/>
      <c r="W74" s="33"/>
      <c r="X74" s="33"/>
      <c r="Y74" s="33"/>
      <c r="Z74" s="33"/>
      <c r="AA74" s="33"/>
      <c r="AB74" s="33"/>
      <c r="AC74" s="11"/>
      <c r="AD74" s="11"/>
      <c r="AE74" s="11"/>
      <c r="AF74" s="11"/>
      <c r="AG74" s="11"/>
      <c r="AH74" s="11"/>
      <c r="AI74" s="11"/>
      <c r="AJ74" s="33"/>
      <c r="AK74" s="33"/>
      <c r="AL74" s="33"/>
      <c r="AM74" s="33"/>
      <c r="AN74" s="33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94"/>
      <c r="BD74" s="11"/>
      <c r="BW74" s="33"/>
      <c r="BX74" s="33"/>
      <c r="BY74" s="33"/>
      <c r="BZ74" s="33"/>
      <c r="CA74" s="33"/>
      <c r="CB74" s="34"/>
      <c r="CC74" s="11"/>
      <c r="CD74" s="35"/>
      <c r="CE74" s="35"/>
      <c r="CF74" s="35"/>
      <c r="CG74" s="35"/>
      <c r="CH74" s="35"/>
      <c r="CI74" s="35"/>
      <c r="CJ74" s="47"/>
      <c r="CK74" s="35"/>
      <c r="CL74" s="35"/>
      <c r="CM74" s="35"/>
      <c r="CN74" s="35"/>
      <c r="CO74" s="35"/>
      <c r="CP74" s="35"/>
      <c r="CQ74" s="35"/>
      <c r="CR74" s="35"/>
      <c r="CS74" s="35"/>
      <c r="CT74" s="95"/>
      <c r="CU74" s="30"/>
      <c r="CV74" s="30"/>
      <c r="CW74" s="1"/>
      <c r="CX74" s="1"/>
      <c r="DC74" s="19"/>
      <c r="DL74" s="13"/>
    </row>
    <row r="75" spans="1:116" ht="12.75" customHeight="1">
      <c r="H75" s="104"/>
      <c r="K75" s="11"/>
      <c r="L75" s="143" t="str" cm="1">
        <f t="array" ref="L75">_xlfn.LET(
  _xlpm.r, CagrTable[Symbol],
  _xlpm.visibles, _xlfn._xlws.FILTER(_xlpm.r, _VisibleRowsOnly),
  _xlpm.uniques, _xlfn.UNIQUE(_xlpm.visibles),
  IF(COUNTA(_xlpm.uniques)=1, INDEX(_xlpm.uniques,1), "various")
)</f>
        <v>AMZN</v>
      </c>
      <c r="M75" s="164">
        <f>_xlfn.LET(
  _xlpm.trades, CagrTable[Trade ID],
  _xlpm.visibles, _xlfn._xlws.FILTER(_xlpm.trades, _VisibleRowsOnly),
  _xlpm.uniques, _xlfn.UNIQUE(_xlpm.visibles),
  COUNTA(_xlpm.uniques)
)</f>
        <v>1</v>
      </c>
      <c r="N75" s="144" t="b" cm="1">
        <f t="array" ref="N75">OR(_xlfn._xlws.FILTER(CagrTable[Is Closed], _VisibleRowsOnly)="")</f>
        <v>0</v>
      </c>
      <c r="P75" s="52"/>
      <c r="Q75" s="52"/>
      <c r="R75" s="31"/>
      <c r="S75" s="32"/>
      <c r="T75" s="96"/>
      <c r="U75" s="33"/>
      <c r="V75" s="159"/>
      <c r="W75" s="33"/>
      <c r="X75" s="33"/>
      <c r="Y75" s="33"/>
      <c r="Z75" s="33"/>
      <c r="AA75" s="33"/>
      <c r="AB75" s="33"/>
      <c r="AC75" s="11"/>
      <c r="AD75" s="11"/>
      <c r="AE75" s="11"/>
      <c r="AF75" s="11"/>
      <c r="AG75" s="11"/>
      <c r="AH75" s="11"/>
      <c r="AI75" s="11"/>
      <c r="AJ75" s="33"/>
      <c r="AK75" s="33"/>
      <c r="AL75" s="33"/>
      <c r="AM75" s="33"/>
      <c r="AN75" s="33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94"/>
      <c r="BD75" s="11"/>
      <c r="BW75" s="33"/>
      <c r="BX75" s="33"/>
      <c r="BY75" s="33"/>
      <c r="BZ75" s="33"/>
      <c r="CC75" s="170"/>
      <c r="CD75" s="37"/>
      <c r="CR75" s="37"/>
      <c r="CS75" s="37"/>
      <c r="CT75" s="37"/>
      <c r="CU75" s="37"/>
      <c r="CV75" s="26"/>
      <c r="CW75" s="1"/>
      <c r="CX75" s="1"/>
      <c r="DC75" s="19"/>
      <c r="DL75" s="13"/>
    </row>
    <row r="76" spans="1:116" ht="12.75" customHeight="1">
      <c r="A76" s="143"/>
      <c r="B76" s="11"/>
      <c r="C76" s="11"/>
      <c r="D76" s="11"/>
      <c r="E76" s="164"/>
      <c r="F76" s="144"/>
      <c r="H76" s="104"/>
      <c r="J76" s="144"/>
      <c r="K76" s="29"/>
      <c r="L76" s="11"/>
      <c r="M76" s="11"/>
      <c r="N76" s="30"/>
      <c r="O76" s="52"/>
      <c r="P76" s="52"/>
      <c r="Q76" s="52"/>
      <c r="R76" s="31"/>
      <c r="S76" s="32"/>
      <c r="T76" s="96"/>
      <c r="U76" s="33"/>
      <c r="V76" s="159"/>
      <c r="W76" s="33"/>
      <c r="X76" s="33"/>
      <c r="Y76" s="33"/>
      <c r="Z76" s="33"/>
      <c r="AA76" s="33"/>
      <c r="AB76" s="33"/>
      <c r="AC76" s="11"/>
      <c r="AD76" s="11"/>
      <c r="AE76" s="11"/>
      <c r="AF76" s="11"/>
      <c r="AG76" s="11"/>
      <c r="AH76" s="11"/>
      <c r="AI76" s="11"/>
      <c r="AJ76" s="33"/>
      <c r="AK76" s="33"/>
      <c r="AL76" s="33"/>
      <c r="AM76" s="33"/>
      <c r="AN76" s="33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94"/>
      <c r="BD76" s="11"/>
      <c r="BS76" s="188"/>
      <c r="BW76" s="33"/>
      <c r="BX76" s="33"/>
      <c r="BY76" s="33"/>
      <c r="BZ76" s="33"/>
      <c r="CC76" s="170"/>
      <c r="CD76" s="37"/>
      <c r="CR76" s="37"/>
      <c r="CS76" s="37"/>
      <c r="CT76" s="37"/>
      <c r="CU76" s="37"/>
      <c r="CV76" s="26"/>
      <c r="CW76" s="1"/>
      <c r="CX76" s="1"/>
      <c r="DC76" s="19"/>
      <c r="DL76" s="13"/>
    </row>
    <row r="77" spans="1:116" ht="12.75" customHeight="1">
      <c r="A77" s="143"/>
      <c r="B77" s="11"/>
      <c r="C77" s="11"/>
      <c r="D77" s="11"/>
      <c r="E77" s="164"/>
      <c r="F77" s="144"/>
      <c r="H77" s="52"/>
      <c r="I77" s="147" t="s">
        <v>185</v>
      </c>
      <c r="J77" s="16"/>
      <c r="K77" s="34"/>
      <c r="L77" s="147" t="s">
        <v>185</v>
      </c>
      <c r="M77" s="147"/>
      <c r="O77" s="147" t="s">
        <v>185</v>
      </c>
      <c r="S77" s="32"/>
      <c r="T77" s="96"/>
      <c r="U77" s="33"/>
      <c r="V77" s="159"/>
      <c r="W77" s="33"/>
      <c r="X77" s="33"/>
      <c r="Y77" s="33"/>
      <c r="Z77" s="33"/>
      <c r="AA77" s="33"/>
      <c r="AB77" s="33"/>
      <c r="AC77" s="11"/>
      <c r="AD77" s="11"/>
      <c r="AE77" s="11"/>
      <c r="AF77" s="11"/>
      <c r="AG77" s="11"/>
      <c r="AH77" s="11"/>
      <c r="AI77" s="11"/>
      <c r="AJ77" s="33"/>
      <c r="AK77" s="33"/>
      <c r="AL77" s="33"/>
      <c r="AM77" s="33"/>
      <c r="AN77" s="33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94"/>
      <c r="BD77" s="11"/>
      <c r="BX77" s="33"/>
      <c r="BY77" s="33"/>
      <c r="BZ77" s="33"/>
      <c r="CD77" s="37"/>
      <c r="CR77" s="37"/>
      <c r="CS77" s="37"/>
      <c r="CT77" s="37"/>
      <c r="CU77" s="37"/>
      <c r="CV77" s="37"/>
      <c r="CW77" s="1"/>
      <c r="CX77" s="1"/>
      <c r="DC77" s="19"/>
      <c r="DL77" s="13"/>
    </row>
    <row r="78" spans="1:116" ht="12.75" customHeight="1">
      <c r="A78" s="143"/>
      <c r="B78" s="11"/>
      <c r="C78" s="11"/>
      <c r="D78" s="11"/>
      <c r="E78" s="164"/>
      <c r="F78" s="144"/>
      <c r="H78" s="52"/>
      <c r="I78" s="147" t="s">
        <v>186</v>
      </c>
      <c r="J78" s="16"/>
      <c r="K78" s="17"/>
      <c r="L78" s="147" t="s">
        <v>188</v>
      </c>
      <c r="M78" s="147"/>
      <c r="N78" s="171"/>
      <c r="O78" s="147" t="s">
        <v>187</v>
      </c>
      <c r="S78" s="32"/>
      <c r="T78" s="96"/>
      <c r="U78" s="33"/>
      <c r="V78" s="159"/>
      <c r="W78" s="33"/>
      <c r="X78" s="33"/>
      <c r="Y78" s="33"/>
      <c r="Z78" s="33"/>
      <c r="AA78" s="33"/>
      <c r="AB78" s="33"/>
      <c r="AC78" s="11"/>
      <c r="AD78" s="11"/>
      <c r="AE78" s="11"/>
      <c r="AF78" s="11"/>
      <c r="AG78" s="11"/>
      <c r="AH78" s="11"/>
      <c r="AI78" s="11"/>
      <c r="AJ78" s="33"/>
      <c r="AK78" s="33"/>
      <c r="AL78" s="33"/>
      <c r="AM78" s="33"/>
      <c r="AN78" s="33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94"/>
      <c r="BD78" s="11"/>
      <c r="BJ78" s="17"/>
      <c r="BX78" s="33"/>
      <c r="BY78" s="33"/>
      <c r="BZ78" s="33"/>
      <c r="CD78" s="37"/>
      <c r="CR78" s="37"/>
      <c r="CS78" s="37"/>
      <c r="CT78" s="37"/>
      <c r="CU78" s="37"/>
      <c r="CV78" s="37"/>
      <c r="CW78" s="1"/>
      <c r="CX78" s="1"/>
      <c r="DC78" s="19"/>
      <c r="DL78" s="13"/>
    </row>
    <row r="79" spans="1:116" ht="12.75" customHeight="1">
      <c r="A79" s="143"/>
      <c r="B79" s="11"/>
      <c r="C79" s="11"/>
      <c r="D79" s="11"/>
      <c r="E79" s="164"/>
      <c r="F79" s="144"/>
      <c r="H79" s="145" t="s">
        <v>193</v>
      </c>
      <c r="I79" s="163">
        <f>MIN(_xlfn._xlws.FILTER(CagrTable[Date Opened], (_VisibleRowsOnly)))</f>
        <v>46134.552708333336</v>
      </c>
      <c r="J79" s="16"/>
      <c r="K79" s="149" t="s">
        <v>193</v>
      </c>
      <c r="L79" s="163">
        <f>_xlfn.MINIFS(CagrTable[Date Opened], CagrTable[In Perf View],TRUE)</f>
        <v>46134.552708333336</v>
      </c>
      <c r="M79" s="163"/>
      <c r="N79" s="149" t="s">
        <v>193</v>
      </c>
      <c r="O79" s="163">
        <f>_xlfn.MINIFS(CagrTable[Date Opened], CagrTable[In Tax View],TRUE)</f>
        <v>46134.552708333336</v>
      </c>
      <c r="S79" s="32"/>
      <c r="T79" s="96"/>
      <c r="U79" s="33"/>
      <c r="V79" s="159"/>
      <c r="W79" s="33"/>
      <c r="X79" s="33"/>
      <c r="Y79" s="33"/>
      <c r="Z79" s="33"/>
      <c r="AA79" s="33"/>
      <c r="AB79" s="33"/>
      <c r="AC79" s="11"/>
      <c r="AD79" s="11"/>
      <c r="AE79" s="11"/>
      <c r="AF79" s="11"/>
      <c r="AG79" s="11"/>
      <c r="AH79" s="11"/>
      <c r="AI79" s="11"/>
      <c r="AJ79" s="33"/>
      <c r="AK79" s="33"/>
      <c r="AL79" s="33"/>
      <c r="AM79" s="33"/>
      <c r="AN79" s="33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94"/>
      <c r="BD79" s="11"/>
      <c r="BX79" s="33"/>
      <c r="BY79" s="33"/>
      <c r="BZ79" s="33"/>
      <c r="CD79" s="37"/>
      <c r="CR79" s="37"/>
      <c r="CS79" s="37"/>
      <c r="CT79" s="37"/>
      <c r="CU79" s="37"/>
      <c r="CV79" s="37"/>
      <c r="CW79" s="1"/>
      <c r="CX79" s="1"/>
      <c r="DC79" s="19"/>
      <c r="DL79" s="13"/>
    </row>
    <row r="80" spans="1:116" ht="12.75" customHeight="1">
      <c r="A80" s="143"/>
      <c r="B80" s="11"/>
      <c r="C80" s="11"/>
      <c r="D80" s="11"/>
      <c r="E80" s="164"/>
      <c r="F80" s="144"/>
      <c r="H80" s="145" t="s">
        <v>194</v>
      </c>
      <c r="I80" s="163">
        <f>MAX(_xlfn._xlws.FILTER(CagrTable[Date Closed], _VisibleRowsOnly))</f>
        <v>46255.75</v>
      </c>
      <c r="J80" s="16"/>
      <c r="K80" s="149" t="s">
        <v>194</v>
      </c>
      <c r="L80" s="163">
        <f>_xlfn.MAXIFS(CagrTable[Date Closed], CagrTable[In Perf View],TRUE)</f>
        <v>46255.75</v>
      </c>
      <c r="M80" s="163"/>
      <c r="N80" s="149" t="s">
        <v>194</v>
      </c>
      <c r="O80" s="163">
        <f>_xlfn.MAXIFS(CagrTable[Sell Date], CagrTable[Is Closed],"Y", CagrTable[In Tax View],TRUE)</f>
        <v>46255.75</v>
      </c>
      <c r="S80" s="32"/>
      <c r="T80" s="96"/>
      <c r="U80" s="33"/>
      <c r="V80" s="159"/>
      <c r="W80" s="33"/>
      <c r="X80" s="33"/>
      <c r="Y80" s="33"/>
      <c r="Z80" s="33"/>
      <c r="AA80" s="33"/>
      <c r="AB80" s="33"/>
      <c r="AC80" s="11"/>
      <c r="AD80" s="11"/>
      <c r="AE80" s="11"/>
      <c r="AF80" s="11"/>
      <c r="AG80" s="11"/>
      <c r="AH80" s="11"/>
      <c r="AI80" s="11"/>
      <c r="AJ80" s="33"/>
      <c r="AK80" s="33"/>
      <c r="AL80" s="33"/>
      <c r="AM80" s="33"/>
      <c r="AN80" s="33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94"/>
      <c r="BD80" s="11"/>
      <c r="BX80" s="33"/>
      <c r="BY80" s="33"/>
      <c r="BZ80" s="33"/>
      <c r="CD80" s="37"/>
      <c r="CR80" s="37"/>
      <c r="CS80" s="37"/>
      <c r="CT80" s="37"/>
      <c r="CU80" s="37"/>
      <c r="CV80" s="37"/>
      <c r="CW80" s="1"/>
      <c r="CX80" s="1"/>
      <c r="DC80" s="19"/>
      <c r="DL80" s="13"/>
    </row>
    <row r="81" spans="1:116" ht="12.75" customHeight="1">
      <c r="A81" s="1"/>
      <c r="B81" s="1"/>
      <c r="C81" s="1"/>
      <c r="D81" s="1"/>
      <c r="E81" s="1"/>
      <c r="F81" s="103"/>
      <c r="H81" s="145" t="s">
        <v>200</v>
      </c>
      <c r="I81" s="168">
        <f>ABS(_xlfn.DAYS(TacticalEnd, TacticalStart))</f>
        <v>121</v>
      </c>
      <c r="J81" s="16"/>
      <c r="K81" s="149" t="s">
        <v>200</v>
      </c>
      <c r="L81" s="167">
        <f>PerfDate_End - PerfDate_Start</f>
        <v>121.19729166666366</v>
      </c>
      <c r="M81" s="167"/>
      <c r="N81" s="149" t="s">
        <v>200</v>
      </c>
      <c r="O81" s="167">
        <f>TaxDate_End - TaxDate_Start</f>
        <v>121.19729166666366</v>
      </c>
      <c r="S81" s="32"/>
      <c r="T81" s="96"/>
      <c r="U81" s="33"/>
      <c r="V81" s="159"/>
      <c r="W81" s="33"/>
      <c r="X81" s="33"/>
      <c r="Y81" s="33"/>
      <c r="Z81" s="33"/>
      <c r="AA81" s="33"/>
      <c r="AB81" s="33"/>
      <c r="AC81" s="11"/>
      <c r="AD81" s="11"/>
      <c r="AE81" s="11"/>
      <c r="AF81" s="11"/>
      <c r="AG81" s="11"/>
      <c r="AH81" s="11"/>
      <c r="AI81" s="11"/>
      <c r="AJ81" s="33"/>
      <c r="AK81" s="33"/>
      <c r="AL81" s="33"/>
      <c r="AM81" s="33"/>
      <c r="AN81" s="33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94"/>
      <c r="BD81" s="11"/>
      <c r="BX81" s="33"/>
      <c r="BY81" s="33"/>
      <c r="BZ81" s="33"/>
      <c r="CD81" s="37"/>
      <c r="CR81" s="37"/>
      <c r="CS81" s="37"/>
      <c r="CT81" s="37"/>
      <c r="CU81" s="37"/>
      <c r="CV81" s="37"/>
      <c r="DC81" s="19"/>
      <c r="DL81" s="13"/>
    </row>
    <row r="82" spans="1:116" ht="12.75" customHeight="1">
      <c r="A82" s="1"/>
      <c r="B82" s="1"/>
      <c r="C82" s="1"/>
      <c r="D82" s="1"/>
      <c r="E82" s="1"/>
      <c r="F82" s="103"/>
      <c r="G82" s="1"/>
      <c r="H82" s="145" t="s">
        <v>201</v>
      </c>
      <c r="I82" s="146">
        <f>IF((AND(TacticalTerm_Days / _DAYS_IN_YEAR)&gt;0),(TacticalTerm_Days / _DAYS_IN_YEAR),#REF!)</f>
        <v>0.33127994524298426</v>
      </c>
      <c r="J82" s="16"/>
      <c r="K82" s="149" t="s">
        <v>201</v>
      </c>
      <c r="L82" s="165">
        <f>PerfTerm_Days / _DAYS_IN_YEAR</f>
        <v>0.33182010038785398</v>
      </c>
      <c r="M82" s="165"/>
      <c r="N82" s="149" t="s">
        <v>201</v>
      </c>
      <c r="O82" s="165">
        <f>TaxTerm_Days / _DAYS_IN_YEAR</f>
        <v>0.33182010038785398</v>
      </c>
      <c r="S82" s="32"/>
      <c r="T82" s="96"/>
      <c r="U82" s="33"/>
      <c r="V82" s="159"/>
      <c r="W82" s="33"/>
      <c r="X82" s="33"/>
      <c r="Y82" s="33"/>
      <c r="Z82" s="33"/>
      <c r="AA82" s="33"/>
      <c r="AB82" s="33"/>
      <c r="AC82" s="11"/>
      <c r="AD82" s="11"/>
      <c r="AE82" s="11"/>
      <c r="AF82" s="11"/>
      <c r="AG82" s="11"/>
      <c r="AH82" s="11"/>
      <c r="AI82" s="11"/>
      <c r="AJ82" s="33"/>
      <c r="AK82" s="33"/>
      <c r="AL82" s="33"/>
      <c r="AM82" s="33"/>
      <c r="AN82" s="33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94"/>
      <c r="BD82" s="11"/>
      <c r="BX82" s="37"/>
      <c r="BY82" s="37"/>
      <c r="BZ82" s="37"/>
      <c r="CD82" s="37"/>
      <c r="CR82" s="37"/>
      <c r="CS82" s="37"/>
      <c r="CT82" s="37"/>
      <c r="CU82" s="37"/>
      <c r="CV82" s="37"/>
      <c r="DC82" s="19"/>
      <c r="DL82" s="13"/>
    </row>
    <row r="83" spans="1:116" ht="12.75" customHeight="1">
      <c r="A83" s="1"/>
      <c r="B83" s="1"/>
      <c r="C83" s="1"/>
      <c r="D83" s="1"/>
      <c r="E83" s="1"/>
      <c r="F83" s="103"/>
      <c r="G83" s="1"/>
      <c r="H83" s="145" t="s">
        <v>2</v>
      </c>
      <c r="I83" s="148" t="str">
        <f>IF(HasOpenTrades, SUMIFS(CagrTable[Basis], CagrTable[In Tactical View], TRUE), "")</f>
        <v/>
      </c>
      <c r="J83" s="16"/>
      <c r="K83" s="149" t="s">
        <v>2</v>
      </c>
      <c r="L83" s="148">
        <f>SUMIFS(CagrTable[Basis], CagrTable[In Perf View], TRUE)</f>
        <v>26894.33</v>
      </c>
      <c r="M83" s="148"/>
      <c r="N83" s="149" t="s">
        <v>2</v>
      </c>
      <c r="O83" s="148">
        <f>SUMIFS(CagrTable[Basis],CagrTable[In Tax View], TRUE)</f>
        <v>26894.33</v>
      </c>
      <c r="S83" s="37"/>
      <c r="T83" s="185" t="s">
        <v>241</v>
      </c>
      <c r="U83" s="37"/>
      <c r="V83" s="154"/>
      <c r="W83" s="37"/>
      <c r="X83" s="37"/>
      <c r="Y83" s="37"/>
      <c r="Z83" s="37"/>
      <c r="AA83" s="37"/>
      <c r="AB83" s="37"/>
      <c r="AC83" s="103"/>
      <c r="AD83" s="103"/>
      <c r="AE83" s="103"/>
      <c r="AF83" s="103"/>
      <c r="AG83" s="103"/>
      <c r="AH83" s="103"/>
      <c r="AI83" s="103"/>
      <c r="AJ83" s="37"/>
      <c r="AK83" s="37"/>
      <c r="AL83" s="37"/>
      <c r="AM83" s="37"/>
      <c r="AN83" s="37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25"/>
      <c r="BD83" s="103"/>
      <c r="CD83" s="37"/>
      <c r="CR83" s="37"/>
      <c r="CS83" s="37"/>
      <c r="CT83" s="37"/>
      <c r="CU83" s="37"/>
      <c r="CV83" s="37"/>
      <c r="DC83" s="19"/>
      <c r="DL83" s="13"/>
    </row>
    <row r="84" spans="1:116" ht="12.75" customHeight="1">
      <c r="A84" s="1"/>
      <c r="B84" s="1"/>
      <c r="C84" s="1"/>
      <c r="D84" s="1"/>
      <c r="E84" s="1"/>
      <c r="F84" s="103"/>
      <c r="G84" s="1"/>
      <c r="H84" s="145" t="s">
        <v>179</v>
      </c>
      <c r="I84" s="144" cm="1">
        <f t="array" ref="I84">IF(IsSingleSymbol, SUMIFS(CagrTable[Share Equivalent], CagrTable[In Tactical View], TRUE), "N/A")</f>
        <v>0</v>
      </c>
      <c r="J84" s="16"/>
      <c r="K84" s="149" t="s">
        <v>3</v>
      </c>
      <c r="L84" s="148">
        <f>SUMIFS(CagrTable[Proceeds], CagrTable[In Perf View], TRUE)</f>
        <v>28900.78</v>
      </c>
      <c r="M84" s="148"/>
      <c r="N84" s="149" t="s">
        <v>3</v>
      </c>
      <c r="O84" s="150">
        <f>SUMIFS(CagrTable[Proceeds], CagrTable[In Tax View], TRUE)</f>
        <v>28900.78</v>
      </c>
      <c r="T84" s="16">
        <f>CagrTable[[#Totals],[Share Equivalent]]</f>
        <v>0</v>
      </c>
      <c r="CD84" s="37"/>
      <c r="CR84" s="37"/>
      <c r="CS84" s="37"/>
      <c r="CT84" s="37"/>
      <c r="CU84" s="37"/>
      <c r="CV84" s="37"/>
      <c r="DC84" s="19"/>
      <c r="DL84" s="13"/>
    </row>
    <row r="85" spans="1:116" ht="12.75" customHeight="1" thickBot="1">
      <c r="A85" s="1"/>
      <c r="B85" s="1"/>
      <c r="C85" s="1"/>
      <c r="D85" s="1"/>
      <c r="E85" s="1"/>
      <c r="F85" s="103"/>
      <c r="G85" s="1"/>
      <c r="H85" s="145"/>
      <c r="I85" s="147" t="s">
        <v>180</v>
      </c>
      <c r="J85" s="16"/>
      <c r="K85" s="149" t="s">
        <v>192</v>
      </c>
      <c r="L85" s="151">
        <f>PerfProceeds - PerfBasis</f>
        <v>2006.4499999999971</v>
      </c>
      <c r="M85" s="175"/>
      <c r="N85" s="149" t="s">
        <v>192</v>
      </c>
      <c r="O85" s="151">
        <f>TaxProceeds - TaxBasis</f>
        <v>2006.4499999999971</v>
      </c>
      <c r="CD85" s="37"/>
      <c r="CR85" s="37"/>
      <c r="CS85" s="37"/>
      <c r="CT85" s="37"/>
      <c r="CU85" s="37"/>
      <c r="CV85" s="37"/>
      <c r="DC85" s="19"/>
      <c r="DL85" s="13"/>
    </row>
    <row r="86" spans="1:116" ht="12.75" customHeight="1" thickTop="1">
      <c r="A86" s="1"/>
      <c r="B86" s="1"/>
      <c r="C86" s="1"/>
      <c r="D86" s="1"/>
      <c r="E86" s="1"/>
      <c r="F86" s="103"/>
      <c r="G86" s="1"/>
      <c r="H86" s="145" t="s">
        <v>176</v>
      </c>
      <c r="I86" s="148" t="str">
        <f>IF(HasOpenTrades, SUMIFS(CagrTable[P&amp;L],CagrTable[Is Closed], "Y",CagrTable[Visible], 1), "")</f>
        <v/>
      </c>
      <c r="J86" s="16"/>
      <c r="K86" s="149"/>
      <c r="L86" s="175"/>
      <c r="M86"/>
      <c r="N86" s="171"/>
      <c r="O86" s="37"/>
      <c r="CD86" s="37"/>
      <c r="CR86" s="37"/>
      <c r="CS86" s="37"/>
      <c r="CT86" s="37"/>
      <c r="CU86" s="37"/>
      <c r="CV86" s="37"/>
      <c r="DC86" s="19"/>
      <c r="DL86" s="13"/>
    </row>
    <row r="87" spans="1:116" ht="12.75" customHeight="1">
      <c r="G87" s="1"/>
      <c r="H87" s="145" t="s">
        <v>196</v>
      </c>
      <c r="I87" s="148" t="str">
        <f>IF(HasOpenTrades, SUMIFS(CagrTable[P&amp;L],CagrTable[Is Naked Call], "PLUG",CagrTable[Visible], 1), "")</f>
        <v/>
      </c>
      <c r="J87" s="16"/>
      <c r="K87" s="145" t="str">
        <f>IF(MC_Basis &gt; 0, "MC Basis", "")</f>
        <v/>
      </c>
      <c r="L87" s="148">
        <f>CagrTable[[#Totals],[MC Basis]]</f>
        <v>0</v>
      </c>
      <c r="M87"/>
      <c r="N87" s="149" t="s">
        <v>195</v>
      </c>
      <c r="O87" s="148">
        <f>SUMIFS(CagrTable[Proceeds], CagrTable[Position],"DIV", CagrTable[Is Naked Call],"&lt;&gt;PLUG", CagrTable[Visible], 1)</f>
        <v>0</v>
      </c>
      <c r="CD87" s="37"/>
      <c r="CR87" s="37"/>
      <c r="CS87" s="37"/>
      <c r="CT87" s="37"/>
      <c r="CU87" s="37"/>
      <c r="CV87" s="37"/>
      <c r="DC87" s="19"/>
      <c r="DL87" s="13"/>
    </row>
    <row r="88" spans="1:116" ht="12.75" customHeight="1">
      <c r="H88" s="145" t="s">
        <v>175</v>
      </c>
      <c r="I88" s="150" t="str">
        <f>IF(HasOpenTrades, SUMIFS( CagrTable[P&amp;L], CagrTable[Is Open], TRUE, CagrTable[Is Short], TRUE, CagrTable[Visible], 1), "")</f>
        <v/>
      </c>
      <c r="J88" s="16"/>
      <c r="K88" s="147" t="s">
        <v>181</v>
      </c>
      <c r="L88"/>
      <c r="M88" s="152"/>
      <c r="N88" s="171"/>
      <c r="O88" s="37"/>
      <c r="CC88" s="171"/>
      <c r="CD88" s="37"/>
      <c r="CR88" s="37"/>
      <c r="CS88" s="37"/>
      <c r="CT88" s="37"/>
      <c r="CU88" s="37"/>
      <c r="CV88" s="37"/>
      <c r="DC88" s="19"/>
      <c r="DL88" s="13"/>
    </row>
    <row r="89" spans="1:116" ht="12.75" customHeight="1" thickBot="1">
      <c r="H89" s="149" t="s">
        <v>102</v>
      </c>
      <c r="I89" s="151" t="str">
        <f>IF(HasOpenTrades, CashRealized + CashUnrealized + CashPotential, "")</f>
        <v/>
      </c>
      <c r="J89" s="16"/>
      <c r="K89" s="145" t="s">
        <v>182</v>
      </c>
      <c r="L89" s="186">
        <f>IF(MC_Basis&gt;0,
     PerfGainLoss/MC_Basis,
     IF(PerfBasis&gt;0, PerfGainLoss/PerfBasis, ""))</f>
        <v>7.4604944611001534E-2</v>
      </c>
      <c r="M89" s="153"/>
      <c r="O89" s="37"/>
      <c r="AO89" s="15"/>
      <c r="AP89" s="15"/>
      <c r="AQ89" s="15"/>
      <c r="AR89" s="15"/>
      <c r="AS89" s="15"/>
      <c r="CC89" s="171"/>
      <c r="CD89" s="37"/>
      <c r="CR89" s="37"/>
      <c r="CS89" s="37"/>
      <c r="CT89" s="37"/>
      <c r="CU89" s="37"/>
      <c r="CV89" s="37"/>
      <c r="DC89" s="19"/>
      <c r="DL89" s="13"/>
    </row>
    <row r="90" spans="1:116" ht="12.75" customHeight="1" thickTop="1" thickBot="1">
      <c r="H90" s="17"/>
      <c r="I90" s="17"/>
      <c r="J90" s="16"/>
      <c r="K90" s="145" t="s">
        <v>183</v>
      </c>
      <c r="L90" s="186">
        <f>IF(AND(PerfRoi_Simple &lt;&gt; "", PerfTerm_Years &lt;=1, PerfTerm_Years &gt; 0), (1 /PerfTerm_Years) * PerfRoi_Simple, "")</f>
        <v>0.22483551937871812</v>
      </c>
      <c r="M90" s="153"/>
      <c r="O90" s="37"/>
      <c r="AO90" s="15"/>
      <c r="AP90" s="15"/>
      <c r="AQ90" s="15"/>
      <c r="AR90" s="15"/>
      <c r="AS90" s="15"/>
      <c r="BW90" s="196"/>
      <c r="CC90" s="171"/>
      <c r="CD90" s="37"/>
      <c r="CR90" s="37"/>
      <c r="CS90" s="37"/>
      <c r="CT90" s="37"/>
      <c r="CU90" s="37"/>
      <c r="CV90" s="37"/>
      <c r="DC90" s="19"/>
      <c r="DL90" s="13"/>
    </row>
    <row r="91" spans="1:116" ht="12.75" customHeight="1" thickBot="1">
      <c r="H91" s="149" t="s">
        <v>90</v>
      </c>
      <c r="I91" s="162" t="e">
        <f>IF(AND(SymbolVisible&lt;&gt;_VARIOUS_TRADES,OR(OpenShareEquivalents &lt;&gt; 0, CagrTable[[#Totals],[Is ACB Put]] &gt; 0)), CagrTable[[#Totals],[Weighted ACB]], NA())</f>
        <v>#N/A</v>
      </c>
      <c r="J91" s="16"/>
      <c r="K91" s="145" t="str">
        <f>IF(PerfTerm_Years &gt;= 1, "CAGR", "")</f>
        <v/>
      </c>
      <c r="L91" s="186" t="str">
        <f>IF(AND(PerfBasis &gt; 0, PerfTerm_Years &gt;=1), (PerfProceeds / PerfBasis) ^ (1 / PerfTerm_Years) - 1, "")</f>
        <v/>
      </c>
      <c r="M91"/>
      <c r="O91" s="37"/>
      <c r="Q91" s="145"/>
      <c r="CC91" s="171"/>
      <c r="CQ91" s="37"/>
      <c r="DC91" s="19"/>
      <c r="DL91" s="13"/>
    </row>
    <row r="92" spans="1:116" ht="12.75" customHeight="1">
      <c r="H92" s="37"/>
      <c r="I92" s="149"/>
      <c r="J92" s="16"/>
      <c r="K92" s="17"/>
      <c r="L92"/>
      <c r="M92"/>
      <c r="O92" s="13"/>
      <c r="Q92" s="148" t="str">
        <f>IF(AND(ISNUMBER(CashPotential), CashPotential &gt;0), CashTacticallyAvailable - TacticalBasis, "")</f>
        <v/>
      </c>
      <c r="CC92" s="172"/>
      <c r="CG92" s="74"/>
      <c r="CI92" s="1"/>
      <c r="CJ92" s="106"/>
      <c r="CK92" s="1"/>
      <c r="CL92" s="1"/>
      <c r="CM92" s="1"/>
      <c r="CN92" s="1"/>
      <c r="CO92" s="1"/>
      <c r="CP92" s="1"/>
      <c r="CQ92" s="17"/>
      <c r="DC92" s="19"/>
      <c r="DL92" s="13"/>
    </row>
    <row r="93" spans="1:116" ht="12.75" customHeight="1">
      <c r="H93" s="37"/>
      <c r="I93" s="145"/>
      <c r="J93" s="16"/>
      <c r="K93" s="17"/>
      <c r="L93"/>
      <c r="M93"/>
      <c r="N93"/>
      <c r="O93" s="1"/>
      <c r="Q93" s="148"/>
      <c r="CC93" s="172"/>
      <c r="CD93" s="37"/>
      <c r="CG93" s="74"/>
      <c r="CI93" s="1"/>
      <c r="CJ93" s="106"/>
      <c r="CK93" s="1"/>
      <c r="CL93" s="1"/>
      <c r="CM93" s="1"/>
      <c r="CN93" s="1"/>
      <c r="CO93" s="1"/>
      <c r="CP93" s="1"/>
      <c r="CQ93" s="1"/>
      <c r="CR93" s="1"/>
      <c r="CS93" s="1"/>
      <c r="CU93" s="1"/>
      <c r="CV93" s="1"/>
      <c r="DC93" s="19"/>
      <c r="DL93" s="13"/>
    </row>
    <row r="94" spans="1:116" ht="12.75" customHeight="1">
      <c r="H94" s="149" t="str">
        <f>IF(HasOpenTrades, "Days In", "")</f>
        <v/>
      </c>
      <c r="I94" s="187" t="str">
        <f>IF(HasOpenTrades, DATEDIF(TacticalStart, MockToday, "d"), "")</f>
        <v/>
      </c>
      <c r="J94" s="16"/>
      <c r="K94" s="17"/>
      <c r="L94"/>
      <c r="M94"/>
      <c r="BT94" s="1"/>
      <c r="CC94" s="171"/>
      <c r="CD94" s="37"/>
      <c r="CG94" s="74"/>
      <c r="CI94" s="1"/>
      <c r="CJ94" s="106"/>
      <c r="CK94" s="1"/>
      <c r="CL94" s="1"/>
      <c r="CM94" s="1"/>
      <c r="CN94" s="1"/>
      <c r="CO94" s="1"/>
      <c r="CP94" s="1"/>
      <c r="CQ94" s="1"/>
      <c r="CR94" s="1"/>
      <c r="CS94" s="1"/>
      <c r="CU94" s="1"/>
      <c r="CV94" s="1"/>
      <c r="DC94" s="19"/>
      <c r="DL94" s="13"/>
    </row>
    <row r="95" spans="1:116" ht="12.75" customHeight="1">
      <c r="H95" s="149" t="str">
        <f>IF(HasOpenTrades, "DTE", "")</f>
        <v/>
      </c>
      <c r="I95" s="187" t="str">
        <f>IF(HasOpenTrades, DATEDIF(MockToday, TacticalEnd, "d"), "")</f>
        <v/>
      </c>
      <c r="J95" s="16"/>
      <c r="K95" s="17"/>
      <c r="L95"/>
      <c r="M95"/>
      <c r="BT95" s="1"/>
      <c r="CC95" s="171"/>
      <c r="CD95" s="37"/>
      <c r="CG95" s="74"/>
      <c r="CH95" s="1"/>
      <c r="CI95" s="1"/>
      <c r="CJ95" s="106"/>
      <c r="CK95" s="1"/>
      <c r="CL95" s="1"/>
      <c r="CM95" s="1"/>
      <c r="CN95" s="1"/>
      <c r="CO95" s="1"/>
      <c r="CP95" s="1"/>
      <c r="CQ95" s="1"/>
      <c r="CR95" s="1"/>
      <c r="CS95" s="1"/>
      <c r="CU95" s="1"/>
      <c r="CV95" s="1"/>
      <c r="DC95" s="19"/>
      <c r="DL95" s="13"/>
    </row>
    <row r="96" spans="1:116" ht="12.75" customHeight="1">
      <c r="H96" s="37"/>
      <c r="I96" s="17"/>
      <c r="J96" s="16"/>
      <c r="K96" s="17"/>
      <c r="L96"/>
      <c r="M96"/>
      <c r="BT96" s="17"/>
      <c r="CC96" s="171"/>
      <c r="CD96" s="37"/>
      <c r="CG96" s="74"/>
      <c r="CH96" s="1"/>
      <c r="CI96" s="1"/>
      <c r="CJ96" s="106"/>
      <c r="CK96" s="1"/>
      <c r="CL96" s="1"/>
      <c r="CM96" s="1"/>
      <c r="CN96" s="1"/>
      <c r="CO96" s="1"/>
      <c r="CP96" s="1"/>
      <c r="CQ96" s="1"/>
      <c r="CR96" s="1"/>
      <c r="CS96" s="1"/>
      <c r="CU96" s="1"/>
      <c r="CV96" s="1"/>
      <c r="DC96" s="19"/>
      <c r="DL96" s="13"/>
    </row>
    <row r="97" spans="8:116" ht="12.75" customHeight="1">
      <c r="H97" s="37"/>
      <c r="I97" s="17"/>
      <c r="J97" s="16"/>
      <c r="K97" s="17"/>
      <c r="L97"/>
      <c r="M97"/>
      <c r="BT97" s="17"/>
      <c r="CC97" s="1"/>
      <c r="CD97" s="37"/>
      <c r="CG97" s="74"/>
      <c r="CH97" s="1"/>
      <c r="CI97" s="1"/>
      <c r="CJ97" s="106"/>
      <c r="CK97" s="1"/>
      <c r="CL97" s="1"/>
      <c r="CM97" s="1"/>
      <c r="CN97" s="1"/>
      <c r="CO97" s="1"/>
      <c r="CP97" s="1"/>
      <c r="CQ97" s="1"/>
      <c r="CR97" s="1"/>
      <c r="CS97" s="1"/>
      <c r="CU97" s="1"/>
      <c r="CV97" s="1"/>
      <c r="DC97" s="19"/>
      <c r="DL97" s="13"/>
    </row>
    <row r="98" spans="8:116" ht="12.75" customHeight="1">
      <c r="H98" s="37"/>
      <c r="I98" s="17"/>
      <c r="J98" s="16"/>
      <c r="K98" s="17"/>
      <c r="L98"/>
      <c r="M98"/>
      <c r="BT98" s="17"/>
      <c r="CC98" s="1"/>
      <c r="CD98" s="37"/>
      <c r="CG98" s="74"/>
      <c r="CH98" s="1"/>
      <c r="CI98" s="1"/>
      <c r="CJ98" s="106"/>
      <c r="CK98" s="1"/>
      <c r="CL98" s="1"/>
      <c r="CM98" s="1"/>
      <c r="CN98" s="1"/>
      <c r="CO98" s="1"/>
      <c r="CP98" s="1"/>
      <c r="CQ98" s="1"/>
      <c r="CR98" s="1"/>
      <c r="CS98" s="1"/>
      <c r="CU98" s="1"/>
      <c r="CV98" s="1"/>
      <c r="DC98" s="19"/>
      <c r="DL98" s="13"/>
    </row>
    <row r="99" spans="8:116" ht="12.75" customHeight="1">
      <c r="H99" s="37"/>
      <c r="I99" s="17"/>
      <c r="J99" s="16"/>
      <c r="K99" s="17"/>
      <c r="L99"/>
      <c r="M99"/>
      <c r="CC99" s="37"/>
      <c r="CD99" s="37"/>
      <c r="CG99" s="74"/>
      <c r="CH99" s="1"/>
      <c r="CI99" s="1"/>
      <c r="CJ99" s="106"/>
      <c r="CK99" s="1"/>
      <c r="CL99" s="1"/>
      <c r="CM99" s="1"/>
      <c r="CN99" s="1"/>
      <c r="CO99" s="1"/>
      <c r="CP99" s="1"/>
      <c r="CQ99" s="1"/>
      <c r="CR99" s="1"/>
      <c r="CS99" s="1"/>
      <c r="CU99" s="1"/>
      <c r="CV99" s="1"/>
      <c r="DC99" s="19"/>
      <c r="DL99" s="13"/>
    </row>
    <row r="100" spans="8:116" ht="12.75" customHeight="1">
      <c r="H100" s="104"/>
      <c r="I100" s="25"/>
      <c r="J100" s="37"/>
      <c r="K100" s="17"/>
      <c r="L100"/>
      <c r="M100" s="37"/>
      <c r="O100"/>
      <c r="P100"/>
      <c r="CC100" s="37"/>
      <c r="CD100" s="37"/>
      <c r="CG100" s="74"/>
      <c r="CH100" s="1"/>
      <c r="CI100" s="1"/>
      <c r="CJ100" s="106"/>
      <c r="CK100" s="1"/>
      <c r="CL100" s="1"/>
      <c r="CM100" s="1"/>
      <c r="CN100" s="1"/>
      <c r="CO100" s="1"/>
      <c r="CP100" s="1"/>
      <c r="CQ100" s="1"/>
      <c r="CR100" s="1"/>
      <c r="CS100" s="1"/>
      <c r="CU100" s="1"/>
      <c r="CV100" s="1"/>
      <c r="DC100" s="19"/>
      <c r="DL100" s="13"/>
    </row>
    <row r="101" spans="8:116" ht="12.75" customHeight="1">
      <c r="H101" s="104"/>
      <c r="I101" s="25"/>
      <c r="J101" s="37"/>
      <c r="K101" s="16"/>
      <c r="L101" s="17"/>
      <c r="M101" s="37"/>
      <c r="O101"/>
      <c r="P101"/>
      <c r="CC101" s="37"/>
      <c r="CD101" s="37"/>
      <c r="CG101" s="74"/>
      <c r="CH101" s="1"/>
      <c r="CI101" s="1"/>
      <c r="CJ101" s="106"/>
      <c r="CK101" s="1"/>
      <c r="CL101" s="1"/>
      <c r="CM101" s="1"/>
      <c r="CN101" s="1"/>
      <c r="CO101" s="1"/>
      <c r="CP101" s="1"/>
      <c r="CQ101" s="1"/>
      <c r="CR101" s="1"/>
      <c r="CS101" s="1"/>
      <c r="CU101" s="1"/>
      <c r="CV101" s="1"/>
      <c r="DC101" s="19"/>
      <c r="DL101" s="13"/>
    </row>
    <row r="102" spans="8:116" ht="12.75" customHeight="1">
      <c r="J102" s="25"/>
      <c r="K102" s="16"/>
      <c r="L102" s="37"/>
      <c r="M102" s="37"/>
      <c r="O102"/>
      <c r="P102"/>
      <c r="CC102" s="37"/>
      <c r="CD102" s="37"/>
      <c r="CG102" s="74"/>
      <c r="CH102" s="1"/>
      <c r="CI102" s="1"/>
      <c r="CJ102" s="106"/>
      <c r="CK102" s="1"/>
      <c r="CL102" s="1"/>
      <c r="CM102" s="1"/>
      <c r="CN102" s="1"/>
      <c r="CO102" s="1"/>
      <c r="CP102" s="1"/>
      <c r="CR102" s="1"/>
      <c r="CS102" s="1"/>
      <c r="CU102" s="1"/>
      <c r="CV102" s="1"/>
      <c r="DC102" s="19"/>
      <c r="DL102" s="13"/>
    </row>
    <row r="103" spans="8:116" ht="12.75" customHeight="1">
      <c r="K103" s="17"/>
      <c r="L103" s="37"/>
      <c r="M103" s="37"/>
      <c r="N103" s="37"/>
      <c r="O103"/>
      <c r="P103"/>
      <c r="CD103" s="37"/>
      <c r="CG103" s="74"/>
      <c r="CH103" s="1"/>
      <c r="CI103" s="1"/>
      <c r="CJ103" s="106"/>
      <c r="CK103" s="1"/>
      <c r="CL103" s="1"/>
      <c r="CM103" s="1"/>
      <c r="CN103" s="1"/>
      <c r="CO103" s="1"/>
      <c r="CP103" s="1"/>
      <c r="CR103" s="1"/>
      <c r="CS103" s="1"/>
      <c r="CU103" s="1"/>
      <c r="CV103" s="1"/>
      <c r="DC103" s="19"/>
      <c r="DL103" s="13"/>
    </row>
    <row r="104" spans="8:116" ht="12.75" customHeight="1">
      <c r="L104" s="25"/>
      <c r="M104" s="37"/>
      <c r="N104" s="37"/>
      <c r="O104" s="1"/>
      <c r="P104" s="1"/>
      <c r="CD104" s="37"/>
      <c r="CG104" s="74"/>
      <c r="CH104" s="1"/>
      <c r="CI104" s="1"/>
      <c r="CJ104" s="106"/>
      <c r="CK104" s="1"/>
      <c r="CL104" s="1"/>
      <c r="CM104" s="1"/>
      <c r="CN104" s="1"/>
      <c r="CO104" s="1"/>
      <c r="CP104" s="1"/>
      <c r="CR104" s="1"/>
      <c r="CS104" s="1"/>
      <c r="CU104" s="1"/>
      <c r="CV104" s="1"/>
      <c r="DC104" s="19"/>
      <c r="DL104" s="13"/>
    </row>
    <row r="105" spans="8:116" ht="12.75" customHeight="1">
      <c r="L105" s="105"/>
      <c r="N105" s="37"/>
      <c r="O105" s="1"/>
      <c r="P105" s="1"/>
      <c r="CD105" s="37"/>
      <c r="CG105" s="74"/>
      <c r="CH105" s="1"/>
      <c r="CI105" s="1"/>
      <c r="CJ105" s="106"/>
      <c r="CK105" s="1"/>
      <c r="CL105" s="1"/>
      <c r="CM105" s="1"/>
      <c r="CN105" s="1"/>
      <c r="CO105" s="1"/>
      <c r="CP105" s="1"/>
      <c r="CR105" s="1"/>
      <c r="CS105" s="1"/>
      <c r="CU105" s="1"/>
      <c r="CV105" s="1"/>
      <c r="DC105" s="19"/>
      <c r="DL105" s="13"/>
    </row>
    <row r="106" spans="8:116" ht="12.75" customHeight="1">
      <c r="N106" s="37"/>
      <c r="O106" s="1"/>
      <c r="P106" s="1"/>
      <c r="DC106" s="19"/>
      <c r="DL106" s="13"/>
    </row>
    <row r="107" spans="8:116" ht="12.75" customHeight="1">
      <c r="O107" s="13"/>
      <c r="P107" s="13"/>
      <c r="DC107" s="19"/>
      <c r="DL107" s="13"/>
    </row>
    <row r="108" spans="8:116" ht="12.75" customHeight="1">
      <c r="DC108" s="19"/>
      <c r="DL108" s="13"/>
    </row>
    <row r="109" spans="8:116" ht="12.75" customHeight="1">
      <c r="DC109" s="19"/>
      <c r="DL109" s="13"/>
    </row>
    <row r="110" spans="8:116" ht="12.75" customHeight="1">
      <c r="DC110" s="19"/>
      <c r="DL110" s="13"/>
    </row>
    <row r="111" spans="8:116" ht="12.75" customHeight="1">
      <c r="DC111" s="19"/>
      <c r="DL111" s="13"/>
    </row>
    <row r="112" spans="8:116" ht="12.75" customHeight="1">
      <c r="DC112" s="19"/>
      <c r="DL112" s="13"/>
    </row>
    <row r="113" spans="76:116" ht="12.75" customHeight="1">
      <c r="DC113" s="19"/>
      <c r="DL113" s="13"/>
    </row>
    <row r="114" spans="76:116" ht="12.75" customHeight="1">
      <c r="DC114" s="19"/>
      <c r="DL114" s="13"/>
    </row>
    <row r="115" spans="76:116" ht="12.75" customHeight="1">
      <c r="DC115" s="19"/>
      <c r="DL115" s="13"/>
    </row>
    <row r="116" spans="76:116" ht="12.75" customHeight="1">
      <c r="DC116" s="19"/>
      <c r="DL116" s="13"/>
    </row>
    <row r="117" spans="76:116" ht="12.75" customHeight="1">
      <c r="DC117" s="19"/>
      <c r="DL117" s="13"/>
    </row>
    <row r="118" spans="76:116" ht="12.75" customHeight="1">
      <c r="DC118" s="19"/>
      <c r="DL118" s="13"/>
    </row>
    <row r="119" spans="76:116" ht="12.75" customHeight="1">
      <c r="DC119" s="19"/>
      <c r="DL119" s="13"/>
    </row>
    <row r="120" spans="76:116" ht="12.75" customHeight="1">
      <c r="DC120" s="19"/>
      <c r="DL120" s="13"/>
    </row>
    <row r="121" spans="76:116" ht="12.75" customHeight="1">
      <c r="DC121" s="19"/>
      <c r="DL121" s="13"/>
    </row>
    <row r="122" spans="76:116" ht="12.75" customHeight="1">
      <c r="DC122" s="19"/>
      <c r="DL122" s="13"/>
    </row>
    <row r="123" spans="76:116" ht="12.75" customHeight="1">
      <c r="DC123" s="19"/>
      <c r="DL123" s="13"/>
    </row>
    <row r="124" spans="76:116" ht="12.75" customHeight="1">
      <c r="DC124" s="19"/>
      <c r="DL124" s="13"/>
    </row>
    <row r="125" spans="76:116" ht="12.75" customHeight="1">
      <c r="DC125" s="19"/>
      <c r="DL125" s="13"/>
    </row>
    <row r="126" spans="76:116" ht="12.75" customHeight="1">
      <c r="DC126" s="19"/>
      <c r="DL126" s="13"/>
    </row>
    <row r="127" spans="76:116" ht="12.75" customHeight="1">
      <c r="DC127" s="19"/>
      <c r="DL127" s="13"/>
    </row>
    <row r="128" spans="76:116" ht="12.75" customHeight="1">
      <c r="BX128" s="1"/>
      <c r="BY128" s="1"/>
      <c r="BZ128" s="1"/>
      <c r="CA128" s="1"/>
      <c r="CB128" s="1"/>
      <c r="DC128" s="19"/>
      <c r="DL128" s="13"/>
    </row>
    <row r="129" spans="15:116" ht="12.75" customHeight="1">
      <c r="R129" s="1"/>
      <c r="S129" s="1"/>
      <c r="T129" s="140"/>
      <c r="U129" s="1"/>
      <c r="V129" s="16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25"/>
      <c r="BD129" s="1"/>
      <c r="BW129" s="1"/>
      <c r="BX129" s="1"/>
      <c r="BY129" s="1"/>
      <c r="BZ129" s="1"/>
      <c r="CA129" s="1"/>
      <c r="CB129" s="1"/>
      <c r="DC129" s="19"/>
      <c r="DL129" s="13"/>
    </row>
    <row r="130" spans="15:116" ht="12.75" customHeight="1">
      <c r="R130" s="1"/>
      <c r="S130" s="1"/>
      <c r="T130" s="140"/>
      <c r="U130" s="1"/>
      <c r="V130" s="16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25"/>
      <c r="BD130" s="1"/>
      <c r="BW130" s="1"/>
      <c r="BX130" s="1"/>
      <c r="BY130" s="1"/>
      <c r="BZ130" s="1"/>
      <c r="CA130" s="1"/>
      <c r="CB130" s="1"/>
      <c r="DC130" s="19"/>
      <c r="DL130" s="13"/>
    </row>
    <row r="131" spans="15:116" ht="12.75" customHeight="1">
      <c r="O131" s="87"/>
      <c r="P131" s="87"/>
      <c r="Q131" s="81"/>
      <c r="R131" s="1"/>
      <c r="S131" s="1"/>
      <c r="T131" s="140"/>
      <c r="U131" s="1"/>
      <c r="V131" s="16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25"/>
      <c r="BD131" s="1"/>
      <c r="BW131" s="1"/>
      <c r="BX131" s="37"/>
      <c r="BY131" s="37"/>
      <c r="BZ131" s="37"/>
      <c r="CA131" s="37"/>
      <c r="CB131" s="98"/>
      <c r="DC131" s="19"/>
      <c r="DL131" s="13"/>
    </row>
    <row r="132" spans="15:116" ht="12.75" customHeight="1">
      <c r="O132" s="87"/>
      <c r="P132" s="87"/>
      <c r="Q132" s="86"/>
      <c r="R132" s="37"/>
      <c r="S132" s="37"/>
      <c r="T132" s="105"/>
      <c r="U132" s="37"/>
      <c r="V132" s="154"/>
      <c r="W132" s="37"/>
      <c r="X132" s="37"/>
      <c r="Y132" s="37"/>
      <c r="Z132" s="37"/>
      <c r="AA132" s="37"/>
      <c r="AB132" s="37"/>
      <c r="AC132" s="103"/>
      <c r="AD132" s="103"/>
      <c r="AE132" s="103"/>
      <c r="AF132" s="103"/>
      <c r="AG132" s="103"/>
      <c r="AH132" s="103"/>
      <c r="AI132" s="103"/>
      <c r="AJ132" s="37"/>
      <c r="AK132" s="37"/>
      <c r="AL132" s="37"/>
      <c r="AM132" s="37"/>
      <c r="AN132" s="37"/>
      <c r="AO132" s="103"/>
      <c r="AP132" s="103"/>
      <c r="AQ132" s="103"/>
      <c r="AR132" s="103"/>
      <c r="AS132" s="103"/>
      <c r="AT132" s="103"/>
      <c r="AU132" s="103"/>
      <c r="AV132" s="103"/>
      <c r="AW132" s="103"/>
      <c r="AX132" s="103"/>
      <c r="AY132" s="103"/>
      <c r="AZ132" s="103"/>
      <c r="BA132" s="103"/>
      <c r="BB132" s="103"/>
      <c r="BC132" s="25"/>
      <c r="BD132" s="103"/>
      <c r="BW132" s="37"/>
      <c r="BX132" s="37"/>
      <c r="BY132" s="37"/>
      <c r="BZ132" s="37"/>
      <c r="CA132" s="37"/>
      <c r="CB132" s="98"/>
      <c r="DC132" s="19"/>
      <c r="DL132" s="13"/>
    </row>
    <row r="133" spans="15:116" ht="12.75" customHeight="1">
      <c r="O133" s="87"/>
      <c r="P133" s="87"/>
      <c r="Q133" s="86"/>
      <c r="R133" s="37"/>
      <c r="S133" s="37"/>
      <c r="T133" s="105"/>
      <c r="U133" s="37"/>
      <c r="V133" s="154"/>
      <c r="W133" s="37"/>
      <c r="X133" s="37"/>
      <c r="Y133" s="37"/>
      <c r="Z133" s="37"/>
      <c r="AA133" s="37"/>
      <c r="AB133" s="37"/>
      <c r="AC133" s="103"/>
      <c r="AD133" s="103"/>
      <c r="AE133" s="103"/>
      <c r="AF133" s="103"/>
      <c r="AG133" s="103"/>
      <c r="AH133" s="103"/>
      <c r="AI133" s="103"/>
      <c r="AJ133" s="37"/>
      <c r="AK133" s="37"/>
      <c r="AL133" s="37"/>
      <c r="AM133" s="37"/>
      <c r="AN133" s="37"/>
      <c r="AO133" s="103"/>
      <c r="AP133" s="103"/>
      <c r="AQ133" s="103"/>
      <c r="AR133" s="103"/>
      <c r="AS133" s="103"/>
      <c r="AT133" s="103"/>
      <c r="AU133" s="103"/>
      <c r="AV133" s="103"/>
      <c r="AW133" s="103"/>
      <c r="AX133" s="103"/>
      <c r="AY133" s="103"/>
      <c r="AZ133" s="103"/>
      <c r="BA133" s="103"/>
      <c r="BB133" s="103"/>
      <c r="BC133" s="25"/>
      <c r="BD133" s="103"/>
      <c r="BW133" s="37"/>
      <c r="BX133" s="1"/>
      <c r="BY133" s="1"/>
      <c r="BZ133" s="1"/>
      <c r="CA133" s="1"/>
      <c r="CB133" s="98"/>
      <c r="DC133" s="19"/>
      <c r="DL133" s="13"/>
    </row>
    <row r="134" spans="15:116" ht="12.75" customHeight="1">
      <c r="O134" s="87"/>
      <c r="P134" s="87"/>
      <c r="Q134" s="86"/>
      <c r="R134" s="1"/>
      <c r="S134" s="1"/>
      <c r="T134" s="140"/>
      <c r="U134" s="1"/>
      <c r="V134" s="16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25"/>
      <c r="BD134" s="1"/>
      <c r="BW134" s="1"/>
      <c r="BX134" s="1"/>
      <c r="BY134" s="1"/>
      <c r="BZ134" s="1"/>
      <c r="CA134" s="1"/>
      <c r="CB134" s="98"/>
      <c r="DC134" s="19"/>
      <c r="DL134" s="13"/>
    </row>
    <row r="135" spans="15:116" ht="12.75" customHeight="1">
      <c r="O135" s="1"/>
      <c r="P135" s="1"/>
      <c r="Q135" s="1"/>
      <c r="R135" s="1"/>
      <c r="S135" s="1"/>
      <c r="T135" s="140"/>
      <c r="U135" s="1"/>
      <c r="V135" s="16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25"/>
      <c r="BD135" s="1"/>
      <c r="BW135" s="1"/>
      <c r="BX135" s="1"/>
      <c r="BY135" s="1"/>
      <c r="BZ135" s="1"/>
      <c r="CA135" s="1"/>
      <c r="CB135" s="98"/>
      <c r="DC135" s="19"/>
      <c r="DL135" s="13"/>
    </row>
    <row r="136" spans="15:116" ht="12.75" customHeight="1">
      <c r="O136" s="98"/>
      <c r="P136" s="98"/>
      <c r="Q136" s="81"/>
      <c r="R136" s="1"/>
      <c r="S136" s="1"/>
      <c r="T136" s="140"/>
      <c r="U136" s="1"/>
      <c r="V136" s="16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25"/>
      <c r="BD136" s="1"/>
      <c r="BW136" s="1"/>
      <c r="BX136" s="1"/>
      <c r="BY136" s="1"/>
      <c r="BZ136" s="1"/>
      <c r="CA136" s="1"/>
      <c r="CB136" s="1"/>
      <c r="DC136" s="19"/>
      <c r="DL136" s="13"/>
    </row>
    <row r="137" spans="15:116" ht="12.75" customHeight="1">
      <c r="O137" s="98"/>
      <c r="P137" s="98"/>
      <c r="Q137" s="81"/>
      <c r="R137" s="1"/>
      <c r="S137" s="1"/>
      <c r="T137" s="140"/>
      <c r="U137" s="1"/>
      <c r="V137" s="16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25"/>
      <c r="BD137" s="1"/>
      <c r="BW137" s="1"/>
      <c r="BX137" s="1"/>
      <c r="BY137" s="1"/>
      <c r="BZ137" s="1"/>
      <c r="CA137" s="1"/>
      <c r="CB137" s="98"/>
      <c r="DC137" s="19"/>
      <c r="DL137" s="13"/>
    </row>
    <row r="138" spans="15:116" ht="12.75" customHeight="1">
      <c r="O138" s="98"/>
      <c r="P138" s="98"/>
      <c r="Q138" s="97"/>
      <c r="R138" s="1"/>
      <c r="S138" s="1"/>
      <c r="T138" s="140"/>
      <c r="U138" s="1"/>
      <c r="V138" s="16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25"/>
      <c r="BD138" s="1"/>
      <c r="BW138" s="1"/>
      <c r="DC138" s="19"/>
      <c r="DL138" s="13"/>
    </row>
    <row r="139" spans="15:116" ht="12.75" customHeight="1">
      <c r="O139" s="98"/>
      <c r="P139" s="98"/>
      <c r="Q139" s="97"/>
      <c r="DC139" s="19"/>
      <c r="DL139" s="13"/>
    </row>
    <row r="140" spans="15:116" ht="12.75" customHeight="1">
      <c r="O140" s="98"/>
      <c r="P140" s="98"/>
      <c r="Q140" s="81"/>
      <c r="DC140" s="19"/>
      <c r="DL140" s="13"/>
    </row>
    <row r="141" spans="15:116" ht="12.75" customHeight="1">
      <c r="O141" s="98"/>
      <c r="P141" s="98"/>
      <c r="Q141" s="97"/>
      <c r="DC141" s="19"/>
      <c r="DL141" s="13"/>
    </row>
    <row r="142" spans="15:116" ht="12.75" customHeight="1">
      <c r="O142" s="98"/>
      <c r="P142" s="98"/>
      <c r="Q142" s="97"/>
      <c r="DC142" s="19"/>
      <c r="DL142" s="13"/>
    </row>
    <row r="143" spans="15:116" ht="12.75" customHeight="1">
      <c r="DC143" s="19"/>
      <c r="DL143" s="13"/>
    </row>
    <row r="144" spans="15:116" ht="12.75" customHeight="1">
      <c r="DC144" s="19"/>
      <c r="DL144" s="13"/>
    </row>
    <row r="145" spans="107:116" ht="12.75" customHeight="1">
      <c r="DC145" s="19"/>
      <c r="DL145" s="13"/>
    </row>
    <row r="146" spans="107:116" ht="12.75" customHeight="1">
      <c r="DC146" s="19"/>
      <c r="DL146" s="13"/>
    </row>
    <row r="147" spans="107:116" ht="12.75" customHeight="1">
      <c r="DC147" s="19"/>
      <c r="DL147" s="13"/>
    </row>
    <row r="148" spans="107:116" ht="12.75" customHeight="1">
      <c r="DC148" s="19"/>
      <c r="DL148" s="13"/>
    </row>
    <row r="149" spans="107:116" ht="12.75" customHeight="1">
      <c r="DC149" s="19"/>
      <c r="DL149" s="13"/>
    </row>
    <row r="150" spans="107:116" ht="12.75" customHeight="1">
      <c r="DC150" s="19"/>
      <c r="DL150" s="13"/>
    </row>
    <row r="151" spans="107:116" ht="12.75" customHeight="1">
      <c r="DC151" s="19"/>
      <c r="DL151" s="13"/>
    </row>
    <row r="152" spans="107:116" ht="12.75" customHeight="1">
      <c r="DC152" s="19"/>
      <c r="DL152" s="13"/>
    </row>
    <row r="153" spans="107:116" ht="12.75" customHeight="1">
      <c r="DC153" s="19"/>
      <c r="DL153" s="13"/>
    </row>
    <row r="154" spans="107:116" ht="12.75" customHeight="1">
      <c r="DC154" s="19"/>
      <c r="DL154" s="13"/>
    </row>
    <row r="155" spans="107:116" ht="12.75" customHeight="1">
      <c r="DC155" s="19"/>
      <c r="DL155" s="13"/>
    </row>
    <row r="156" spans="107:116" ht="12.75" customHeight="1">
      <c r="DC156" s="19"/>
      <c r="DL156" s="13"/>
    </row>
    <row r="157" spans="107:116" ht="12.75" customHeight="1">
      <c r="DC157" s="19"/>
      <c r="DL157" s="13"/>
    </row>
    <row r="158" spans="107:116" ht="12.75" customHeight="1">
      <c r="DC158" s="19"/>
      <c r="DL158" s="13"/>
    </row>
    <row r="159" spans="107:116" ht="12.75" customHeight="1">
      <c r="DC159" s="19"/>
      <c r="DL159" s="13"/>
    </row>
    <row r="160" spans="107:116" ht="12.75" customHeight="1">
      <c r="DC160" s="19"/>
      <c r="DL160" s="13"/>
    </row>
    <row r="161" spans="107:116" ht="12.75" customHeight="1">
      <c r="DC161" s="19"/>
      <c r="DL161" s="13"/>
    </row>
    <row r="162" spans="107:116" ht="12.75" customHeight="1">
      <c r="DC162" s="19"/>
      <c r="DL162" s="13"/>
    </row>
    <row r="163" spans="107:116" ht="12.75" customHeight="1">
      <c r="DC163" s="19"/>
      <c r="DL163" s="13"/>
    </row>
    <row r="164" spans="107:116" ht="12.75" customHeight="1">
      <c r="DC164" s="19"/>
      <c r="DL164" s="13"/>
    </row>
    <row r="165" spans="107:116" ht="12.75" customHeight="1">
      <c r="DC165" s="19"/>
      <c r="DL165" s="13"/>
    </row>
    <row r="166" spans="107:116" ht="12.75" customHeight="1">
      <c r="DC166" s="19"/>
      <c r="DL166" s="13"/>
    </row>
    <row r="167" spans="107:116" ht="12.75" customHeight="1">
      <c r="DC167" s="19"/>
      <c r="DL167" s="13"/>
    </row>
    <row r="168" spans="107:116" ht="12.75" customHeight="1">
      <c r="DC168" s="19"/>
      <c r="DL168" s="13"/>
    </row>
    <row r="169" spans="107:116" ht="12.75" customHeight="1">
      <c r="DC169" s="19"/>
      <c r="DL169" s="13"/>
    </row>
    <row r="170" spans="107:116" ht="12.75" customHeight="1">
      <c r="DC170" s="19"/>
      <c r="DL170" s="13"/>
    </row>
    <row r="171" spans="107:116" ht="12.75" customHeight="1">
      <c r="DC171" s="19"/>
      <c r="DL171" s="13"/>
    </row>
    <row r="172" spans="107:116" ht="12.75" customHeight="1">
      <c r="DC172" s="19"/>
      <c r="DL172" s="13"/>
    </row>
    <row r="173" spans="107:116" ht="12.75" customHeight="1">
      <c r="DC173" s="19"/>
      <c r="DL173" s="13"/>
    </row>
    <row r="174" spans="107:116" ht="12.75" customHeight="1">
      <c r="DC174" s="19"/>
      <c r="DL174" s="13"/>
    </row>
    <row r="175" spans="107:116" ht="12.75" customHeight="1">
      <c r="DC175" s="19"/>
      <c r="DL175" s="13"/>
    </row>
    <row r="176" spans="107:116" ht="12.75" customHeight="1">
      <c r="DC176" s="19"/>
      <c r="DL176" s="13"/>
    </row>
    <row r="177" spans="107:116" ht="12.75" customHeight="1">
      <c r="DC177" s="19"/>
      <c r="DL177" s="13"/>
    </row>
    <row r="178" spans="107:116" ht="12.75" customHeight="1">
      <c r="DC178" s="19"/>
      <c r="DL178" s="13"/>
    </row>
    <row r="179" spans="107:116" ht="12.75" customHeight="1">
      <c r="DC179" s="19"/>
      <c r="DL179" s="13"/>
    </row>
    <row r="180" spans="107:116" ht="12.75" customHeight="1">
      <c r="DC180" s="19"/>
      <c r="DL180" s="13"/>
    </row>
    <row r="181" spans="107:116" ht="12.75" customHeight="1">
      <c r="DC181" s="19"/>
      <c r="DL181" s="13"/>
    </row>
    <row r="182" spans="107:116" ht="12.75" customHeight="1">
      <c r="DC182" s="19"/>
      <c r="DL182" s="13"/>
    </row>
    <row r="183" spans="107:116" ht="12.75" customHeight="1">
      <c r="DC183" s="19"/>
      <c r="DL183" s="13"/>
    </row>
    <row r="184" spans="107:116" ht="12.75" customHeight="1">
      <c r="DC184" s="19"/>
      <c r="DL184" s="13"/>
    </row>
    <row r="185" spans="107:116" ht="12.75" customHeight="1">
      <c r="DC185" s="19"/>
      <c r="DL185" s="13"/>
    </row>
    <row r="186" spans="107:116" ht="12.75" customHeight="1">
      <c r="DC186" s="19"/>
      <c r="DL186" s="13"/>
    </row>
    <row r="187" spans="107:116" ht="12.75" customHeight="1">
      <c r="DC187" s="19"/>
      <c r="DL187" s="13"/>
    </row>
    <row r="188" spans="107:116" ht="12.75" customHeight="1">
      <c r="DC188" s="19"/>
      <c r="DL188" s="13"/>
    </row>
    <row r="189" spans="107:116" ht="12.75" customHeight="1">
      <c r="DC189" s="19"/>
      <c r="DL189" s="13"/>
    </row>
    <row r="190" spans="107:116" ht="12.75" customHeight="1">
      <c r="DC190" s="19"/>
      <c r="DL190" s="13"/>
    </row>
    <row r="191" spans="107:116" ht="12.75" customHeight="1">
      <c r="DC191" s="19"/>
      <c r="DL191" s="13"/>
    </row>
    <row r="192" spans="107:116" ht="12.75" customHeight="1">
      <c r="DC192" s="19"/>
      <c r="DL192" s="13"/>
    </row>
    <row r="193" spans="107:116" ht="12.75" customHeight="1">
      <c r="DC193" s="19"/>
      <c r="DL193" s="13"/>
    </row>
    <row r="194" spans="107:116" ht="12.75" customHeight="1">
      <c r="DC194" s="19"/>
      <c r="DL194" s="13"/>
    </row>
    <row r="195" spans="107:116" ht="12.75" customHeight="1">
      <c r="DC195" s="19"/>
      <c r="DL195" s="13"/>
    </row>
    <row r="196" spans="107:116" ht="12.75" customHeight="1">
      <c r="DC196" s="19"/>
      <c r="DL196" s="13"/>
    </row>
    <row r="197" spans="107:116" ht="12.75" customHeight="1">
      <c r="DC197" s="19"/>
      <c r="DL197" s="13"/>
    </row>
    <row r="198" spans="107:116" ht="12.75" customHeight="1">
      <c r="DC198" s="19"/>
      <c r="DL198" s="13"/>
    </row>
    <row r="199" spans="107:116" ht="12.75" customHeight="1">
      <c r="DC199" s="19"/>
      <c r="DL199" s="13"/>
    </row>
    <row r="200" spans="107:116" ht="12.75" customHeight="1">
      <c r="DC200" s="19"/>
      <c r="DL200" s="13"/>
    </row>
    <row r="201" spans="107:116" ht="12.75" customHeight="1">
      <c r="DC201" s="19"/>
      <c r="DL201" s="13"/>
    </row>
    <row r="202" spans="107:116" ht="12.75" customHeight="1">
      <c r="DC202" s="19"/>
      <c r="DL202" s="13"/>
    </row>
    <row r="203" spans="107:116" ht="12.75" customHeight="1">
      <c r="DC203" s="19"/>
      <c r="DL203" s="13"/>
    </row>
    <row r="204" spans="107:116" ht="12.75" customHeight="1">
      <c r="DC204" s="19"/>
      <c r="DL204" s="13"/>
    </row>
    <row r="205" spans="107:116" ht="12.75" customHeight="1">
      <c r="DC205" s="19"/>
      <c r="DL205" s="13"/>
    </row>
    <row r="206" spans="107:116" ht="12.75" customHeight="1">
      <c r="DC206" s="19"/>
      <c r="DL206" s="13"/>
    </row>
    <row r="207" spans="107:116" ht="12.75" customHeight="1">
      <c r="DC207" s="19"/>
      <c r="DL207" s="13"/>
    </row>
    <row r="208" spans="107:116" ht="12.75" customHeight="1">
      <c r="DC208" s="19"/>
      <c r="DL208" s="13"/>
    </row>
    <row r="209" spans="107:116" ht="12.75" customHeight="1">
      <c r="DC209" s="19"/>
      <c r="DL209" s="13"/>
    </row>
    <row r="210" spans="107:116" ht="12.75" customHeight="1">
      <c r="DC210" s="19"/>
      <c r="DL210" s="13"/>
    </row>
    <row r="211" spans="107:116" ht="12.75" customHeight="1">
      <c r="DC211" s="19"/>
      <c r="DL211" s="13"/>
    </row>
    <row r="212" spans="107:116" ht="12.75" customHeight="1">
      <c r="DC212" s="19"/>
      <c r="DL212" s="13"/>
    </row>
    <row r="213" spans="107:116" ht="12.75" customHeight="1">
      <c r="DC213" s="19"/>
      <c r="DL213" s="13"/>
    </row>
    <row r="214" spans="107:116" ht="12.75" customHeight="1">
      <c r="DC214" s="19"/>
      <c r="DL214" s="13"/>
    </row>
    <row r="215" spans="107:116" ht="12.75" customHeight="1">
      <c r="DC215" s="19"/>
      <c r="DL215" s="13"/>
    </row>
    <row r="216" spans="107:116" ht="12.75" customHeight="1">
      <c r="DC216" s="19"/>
      <c r="DL216" s="13"/>
    </row>
    <row r="217" spans="107:116" ht="12.75" customHeight="1">
      <c r="DC217" s="19"/>
      <c r="DL217" s="13"/>
    </row>
    <row r="218" spans="107:116" ht="12.75" customHeight="1">
      <c r="DC218" s="19"/>
      <c r="DL218" s="13"/>
    </row>
    <row r="219" spans="107:116" ht="12.75" customHeight="1">
      <c r="DC219" s="19"/>
      <c r="DL219" s="13"/>
    </row>
    <row r="220" spans="107:116" ht="12.75" customHeight="1">
      <c r="DC220" s="19"/>
      <c r="DL220" s="13"/>
    </row>
    <row r="221" spans="107:116" ht="12.75" customHeight="1">
      <c r="DC221" s="19"/>
      <c r="DL221" s="13"/>
    </row>
    <row r="222" spans="107:116" ht="12.75" customHeight="1">
      <c r="DC222" s="19"/>
      <c r="DL222" s="13"/>
    </row>
    <row r="223" spans="107:116" ht="12.75" customHeight="1">
      <c r="DC223" s="19"/>
      <c r="DL223" s="13"/>
    </row>
    <row r="224" spans="107:116" ht="12.75" customHeight="1">
      <c r="DC224" s="19"/>
      <c r="DL224" s="13"/>
    </row>
    <row r="225" spans="107:116" ht="12.75" customHeight="1">
      <c r="DC225" s="19"/>
      <c r="DL225" s="13"/>
    </row>
    <row r="226" spans="107:116" ht="12.75" customHeight="1">
      <c r="DC226" s="19"/>
      <c r="DL226" s="13"/>
    </row>
    <row r="227" spans="107:116" ht="12.75" customHeight="1">
      <c r="DC227" s="19"/>
      <c r="DL227" s="13"/>
    </row>
    <row r="228" spans="107:116" ht="12.75" customHeight="1">
      <c r="DC228" s="19"/>
      <c r="DL228" s="13"/>
    </row>
    <row r="229" spans="107:116" ht="12.75" customHeight="1">
      <c r="DC229" s="19"/>
      <c r="DL229" s="13"/>
    </row>
    <row r="230" spans="107:116" ht="12.75" customHeight="1">
      <c r="DC230" s="19"/>
      <c r="DL230" s="13"/>
    </row>
    <row r="231" spans="107:116" ht="12.75" customHeight="1">
      <c r="DC231" s="19"/>
      <c r="DL231" s="13"/>
    </row>
    <row r="232" spans="107:116" ht="12.75" customHeight="1">
      <c r="DC232" s="19"/>
      <c r="DL232" s="13"/>
    </row>
    <row r="233" spans="107:116" ht="12.75" customHeight="1">
      <c r="DC233" s="19"/>
      <c r="DL233" s="13"/>
    </row>
    <row r="234" spans="107:116" ht="12.75" customHeight="1">
      <c r="DC234" s="19"/>
      <c r="DL234" s="13"/>
    </row>
    <row r="235" spans="107:116" ht="12.75" customHeight="1">
      <c r="DC235" s="19"/>
      <c r="DL235" s="13"/>
    </row>
    <row r="236" spans="107:116" ht="12.75" customHeight="1">
      <c r="DC236" s="19"/>
      <c r="DL236" s="13"/>
    </row>
    <row r="237" spans="107:116" ht="12.75" customHeight="1">
      <c r="DC237" s="19"/>
      <c r="DL237" s="13"/>
    </row>
    <row r="238" spans="107:116" ht="12.75" customHeight="1">
      <c r="DC238" s="19"/>
      <c r="DL238" s="13"/>
    </row>
    <row r="239" spans="107:116" ht="12.75" customHeight="1">
      <c r="DC239" s="19"/>
      <c r="DL239" s="13"/>
    </row>
    <row r="240" spans="107:116" ht="12.75" customHeight="1">
      <c r="DC240" s="19"/>
      <c r="DL240" s="13"/>
    </row>
    <row r="241" spans="107:116" ht="12.75" customHeight="1">
      <c r="DC241" s="19"/>
      <c r="DL241" s="13"/>
    </row>
    <row r="242" spans="107:116" ht="12.75" customHeight="1">
      <c r="DC242" s="19"/>
      <c r="DL242" s="13"/>
    </row>
    <row r="243" spans="107:116" ht="12.75" customHeight="1">
      <c r="DC243" s="19"/>
      <c r="DL243" s="13"/>
    </row>
    <row r="244" spans="107:116" ht="12.75" customHeight="1">
      <c r="DC244" s="19"/>
      <c r="DL244" s="13"/>
    </row>
    <row r="245" spans="107:116" ht="12.75" customHeight="1">
      <c r="DC245" s="19"/>
      <c r="DL245" s="13"/>
    </row>
    <row r="246" spans="107:116" ht="12.75" customHeight="1">
      <c r="DC246" s="19"/>
      <c r="DL246" s="13"/>
    </row>
    <row r="247" spans="107:116" ht="12.75" customHeight="1">
      <c r="DC247" s="19"/>
      <c r="DL247" s="13"/>
    </row>
    <row r="248" spans="107:116" ht="12.75" customHeight="1">
      <c r="DC248" s="19"/>
      <c r="DL248" s="13"/>
    </row>
    <row r="249" spans="107:116" ht="12.75" customHeight="1">
      <c r="DC249" s="19"/>
      <c r="DL249" s="13"/>
    </row>
    <row r="250" spans="107:116" ht="12.75" customHeight="1">
      <c r="DC250" s="19"/>
      <c r="DL250" s="13"/>
    </row>
    <row r="251" spans="107:116" ht="12.75" customHeight="1">
      <c r="DC251" s="19"/>
      <c r="DL251" s="13"/>
    </row>
    <row r="252" spans="107:116" ht="12.75" customHeight="1">
      <c r="DC252" s="19"/>
      <c r="DL252" s="13"/>
    </row>
    <row r="253" spans="107:116" ht="12.75" customHeight="1">
      <c r="DC253" s="19"/>
      <c r="DL253" s="13"/>
    </row>
    <row r="254" spans="107:116" ht="12.75" customHeight="1">
      <c r="DC254" s="19"/>
      <c r="DL254" s="13"/>
    </row>
    <row r="255" spans="107:116" ht="12.75" customHeight="1">
      <c r="DC255" s="19"/>
      <c r="DL255" s="13"/>
    </row>
    <row r="256" spans="107:116" ht="12.75" customHeight="1">
      <c r="DC256" s="19"/>
      <c r="DL256" s="13"/>
    </row>
    <row r="257" spans="107:116" ht="12.75" customHeight="1">
      <c r="DC257" s="19"/>
      <c r="DL257" s="13"/>
    </row>
    <row r="258" spans="107:116" ht="12.75" customHeight="1">
      <c r="DC258" s="19"/>
      <c r="DL258" s="13"/>
    </row>
    <row r="259" spans="107:116" ht="12.75" customHeight="1">
      <c r="DC259" s="19"/>
      <c r="DL259" s="13"/>
    </row>
    <row r="260" spans="107:116" ht="12.75" customHeight="1">
      <c r="DC260" s="19"/>
      <c r="DL260" s="13"/>
    </row>
    <row r="261" spans="107:116" ht="12.75" customHeight="1">
      <c r="DC261" s="19"/>
      <c r="DL261" s="13"/>
    </row>
    <row r="262" spans="107:116" ht="12.75" customHeight="1">
      <c r="DC262" s="19"/>
      <c r="DL262" s="13"/>
    </row>
    <row r="263" spans="107:116" ht="12.75" customHeight="1">
      <c r="DC263" s="19"/>
      <c r="DL263" s="13"/>
    </row>
    <row r="264" spans="107:116" ht="12.75" customHeight="1">
      <c r="DC264" s="19"/>
      <c r="DL264" s="13"/>
    </row>
    <row r="265" spans="107:116" ht="12.75" customHeight="1">
      <c r="DC265" s="19"/>
      <c r="DL265" s="13"/>
    </row>
    <row r="266" spans="107:116" ht="12.75" customHeight="1">
      <c r="DC266" s="19"/>
      <c r="DL266" s="13"/>
    </row>
    <row r="267" spans="107:116" ht="12.75" customHeight="1">
      <c r="DC267" s="19"/>
      <c r="DL267" s="13"/>
    </row>
    <row r="268" spans="107:116" ht="12.75" customHeight="1">
      <c r="DC268" s="19"/>
      <c r="DL268" s="13"/>
    </row>
    <row r="269" spans="107:116" ht="12.75" customHeight="1">
      <c r="DC269" s="19"/>
      <c r="DL269" s="13"/>
    </row>
    <row r="270" spans="107:116" ht="12.75" customHeight="1">
      <c r="DC270" s="19"/>
      <c r="DL270" s="13"/>
    </row>
    <row r="271" spans="107:116" ht="12.75" customHeight="1">
      <c r="DC271" s="19"/>
      <c r="DL271" s="13"/>
    </row>
    <row r="272" spans="107:116" ht="12.75" customHeight="1">
      <c r="DC272" s="19"/>
      <c r="DL272" s="13"/>
    </row>
    <row r="273" spans="107:116" ht="12.75" customHeight="1">
      <c r="DC273" s="19"/>
      <c r="DL273" s="13"/>
    </row>
    <row r="274" spans="107:116" ht="12.75" customHeight="1">
      <c r="DC274" s="19"/>
      <c r="DL274" s="13"/>
    </row>
    <row r="275" spans="107:116" ht="12.75" customHeight="1">
      <c r="DC275" s="19"/>
      <c r="DL275" s="13"/>
    </row>
    <row r="276" spans="107:116" ht="12.75" customHeight="1">
      <c r="DC276" s="19"/>
      <c r="DL276" s="13"/>
    </row>
    <row r="277" spans="107:116" ht="12.75" customHeight="1">
      <c r="DC277" s="19"/>
      <c r="DL277" s="13"/>
    </row>
    <row r="278" spans="107:116" ht="12.75" customHeight="1">
      <c r="DC278" s="19"/>
      <c r="DL278" s="13"/>
    </row>
    <row r="279" spans="107:116" ht="12.75" customHeight="1">
      <c r="DC279" s="19"/>
      <c r="DL279" s="13"/>
    </row>
    <row r="280" spans="107:116" ht="12.75" customHeight="1">
      <c r="DC280" s="19"/>
      <c r="DL280" s="13"/>
    </row>
    <row r="281" spans="107:116" ht="12.75" customHeight="1">
      <c r="DC281" s="19"/>
      <c r="DL281" s="13"/>
    </row>
    <row r="282" spans="107:116" ht="12.75" customHeight="1">
      <c r="DC282" s="19"/>
      <c r="DL282" s="13"/>
    </row>
    <row r="283" spans="107:116" ht="12.75" customHeight="1">
      <c r="DC283" s="19"/>
      <c r="DL283" s="13"/>
    </row>
    <row r="284" spans="107:116" ht="12.75" customHeight="1">
      <c r="DC284" s="19"/>
      <c r="DL284" s="13"/>
    </row>
    <row r="285" spans="107:116" ht="12.75" customHeight="1">
      <c r="DC285" s="19"/>
      <c r="DL285" s="13"/>
    </row>
    <row r="286" spans="107:116" ht="12.75" customHeight="1">
      <c r="DC286" s="19"/>
      <c r="DL286" s="13"/>
    </row>
    <row r="287" spans="107:116" ht="12.75" customHeight="1">
      <c r="DC287" s="19"/>
      <c r="DL287" s="13"/>
    </row>
    <row r="288" spans="107:116" ht="12.75" customHeight="1">
      <c r="DC288" s="19"/>
      <c r="DL288" s="13"/>
    </row>
    <row r="289" spans="107:116" ht="12.75" customHeight="1">
      <c r="DC289" s="19"/>
      <c r="DL289" s="13"/>
    </row>
    <row r="290" spans="107:116" ht="12.75" customHeight="1">
      <c r="DC290" s="19"/>
      <c r="DL290" s="13"/>
    </row>
    <row r="291" spans="107:116" ht="12.75" customHeight="1">
      <c r="DC291" s="19"/>
      <c r="DL291" s="13"/>
    </row>
    <row r="292" spans="107:116" ht="12.75" customHeight="1">
      <c r="DC292" s="19"/>
      <c r="DL292" s="13"/>
    </row>
    <row r="293" spans="107:116" ht="12.75" customHeight="1">
      <c r="DC293" s="19"/>
      <c r="DL293" s="13"/>
    </row>
    <row r="294" spans="107:116" ht="12.75" customHeight="1">
      <c r="DC294" s="19"/>
      <c r="DL294" s="13"/>
    </row>
    <row r="295" spans="107:116" ht="12.75" customHeight="1">
      <c r="DC295" s="19"/>
      <c r="DL295" s="13"/>
    </row>
    <row r="296" spans="107:116" ht="12.75" customHeight="1">
      <c r="DC296" s="19"/>
      <c r="DL296" s="13"/>
    </row>
    <row r="297" spans="107:116" ht="12.75" customHeight="1">
      <c r="DC297" s="19"/>
      <c r="DL297" s="13"/>
    </row>
    <row r="298" spans="107:116" ht="12.75" customHeight="1">
      <c r="DC298" s="19"/>
      <c r="DL298" s="13"/>
    </row>
    <row r="299" spans="107:116" ht="12.75" customHeight="1">
      <c r="DC299" s="19"/>
      <c r="DL299" s="13"/>
    </row>
    <row r="300" spans="107:116" ht="12.75" customHeight="1">
      <c r="DC300" s="19"/>
      <c r="DL300" s="13"/>
    </row>
    <row r="301" spans="107:116" ht="12.75" customHeight="1">
      <c r="DC301" s="19"/>
      <c r="DL301" s="13"/>
    </row>
    <row r="302" spans="107:116" ht="12.75" customHeight="1">
      <c r="DC302" s="19"/>
      <c r="DL302" s="13"/>
    </row>
    <row r="303" spans="107:116" ht="12.75" customHeight="1">
      <c r="DC303" s="19"/>
      <c r="DL303" s="13"/>
    </row>
    <row r="304" spans="107:116" ht="12.75" customHeight="1">
      <c r="DC304" s="19"/>
      <c r="DL304" s="13"/>
    </row>
    <row r="305" spans="107:116" ht="12.75" customHeight="1">
      <c r="DC305" s="19"/>
      <c r="DL305" s="13"/>
    </row>
    <row r="306" spans="107:116" ht="12.75" customHeight="1">
      <c r="DC306" s="19"/>
      <c r="DL306" s="13"/>
    </row>
    <row r="307" spans="107:116" ht="12.75" customHeight="1">
      <c r="DC307" s="19"/>
      <c r="DL307" s="13"/>
    </row>
    <row r="308" spans="107:116" ht="12.75" customHeight="1">
      <c r="DC308" s="19"/>
      <c r="DL308" s="13"/>
    </row>
    <row r="309" spans="107:116" ht="12.75" customHeight="1">
      <c r="DC309" s="19"/>
      <c r="DL309" s="13"/>
    </row>
    <row r="310" spans="107:116" ht="12.75" customHeight="1">
      <c r="DC310" s="19"/>
      <c r="DL310" s="13"/>
    </row>
    <row r="311" spans="107:116" ht="12.75" customHeight="1">
      <c r="DC311" s="19"/>
      <c r="DL311" s="13"/>
    </row>
    <row r="312" spans="107:116" ht="12.75" customHeight="1">
      <c r="DC312" s="19"/>
      <c r="DL312" s="13"/>
    </row>
    <row r="313" spans="107:116" ht="12.75" customHeight="1">
      <c r="DC313" s="19"/>
      <c r="DL313" s="13"/>
    </row>
    <row r="314" spans="107:116" ht="12.75" customHeight="1">
      <c r="DC314" s="19"/>
      <c r="DL314" s="13"/>
    </row>
    <row r="315" spans="107:116" ht="12.75" customHeight="1">
      <c r="DC315" s="19"/>
      <c r="DL315" s="13"/>
    </row>
    <row r="316" spans="107:116" ht="12.75" customHeight="1">
      <c r="DC316" s="19"/>
      <c r="DL316" s="13"/>
    </row>
    <row r="317" spans="107:116" ht="12.75" customHeight="1">
      <c r="DC317" s="19"/>
      <c r="DL317" s="13"/>
    </row>
    <row r="318" spans="107:116" ht="12.75" customHeight="1">
      <c r="DC318" s="19"/>
      <c r="DL318" s="13"/>
    </row>
    <row r="319" spans="107:116" ht="12.75" customHeight="1">
      <c r="DC319" s="19"/>
      <c r="DL319" s="13"/>
    </row>
    <row r="320" spans="107:116" ht="12.75" customHeight="1">
      <c r="DC320" s="19"/>
      <c r="DL320" s="13"/>
    </row>
    <row r="321" spans="107:116" ht="12.75" customHeight="1">
      <c r="DC321" s="19"/>
      <c r="DL321" s="13"/>
    </row>
    <row r="322" spans="107:116" ht="12.75" customHeight="1">
      <c r="DC322" s="19"/>
      <c r="DL322" s="13"/>
    </row>
    <row r="323" spans="107:116" ht="12.75" customHeight="1">
      <c r="DC323" s="19"/>
      <c r="DL323" s="13"/>
    </row>
    <row r="324" spans="107:116" ht="12.75" customHeight="1">
      <c r="DC324" s="19"/>
      <c r="DL324" s="13"/>
    </row>
    <row r="325" spans="107:116" ht="12.75" customHeight="1">
      <c r="DC325" s="19"/>
      <c r="DL325" s="13"/>
    </row>
    <row r="326" spans="107:116" ht="12.75" customHeight="1">
      <c r="DC326" s="19"/>
      <c r="DL326" s="13"/>
    </row>
    <row r="327" spans="107:116" ht="12.75" customHeight="1">
      <c r="DC327" s="19"/>
      <c r="DL327" s="13"/>
    </row>
    <row r="328" spans="107:116" ht="12.75" customHeight="1">
      <c r="DC328" s="19"/>
      <c r="DL328" s="13"/>
    </row>
    <row r="329" spans="107:116" ht="12.75" customHeight="1">
      <c r="DC329" s="19"/>
      <c r="DL329" s="13"/>
    </row>
    <row r="330" spans="107:116" ht="12.75" customHeight="1">
      <c r="DC330" s="19"/>
      <c r="DL330" s="13"/>
    </row>
    <row r="331" spans="107:116" ht="12.75" customHeight="1">
      <c r="DC331" s="19"/>
      <c r="DL331" s="13"/>
    </row>
    <row r="332" spans="107:116" ht="12.75" customHeight="1">
      <c r="DC332" s="19"/>
      <c r="DL332" s="13"/>
    </row>
    <row r="333" spans="107:116" ht="12.75" customHeight="1">
      <c r="DC333" s="19"/>
      <c r="DL333" s="13"/>
    </row>
    <row r="334" spans="107:116" ht="12.75" customHeight="1">
      <c r="DC334" s="19"/>
      <c r="DL334" s="13"/>
    </row>
    <row r="335" spans="107:116" ht="12.75" customHeight="1">
      <c r="DC335" s="19"/>
      <c r="DL335" s="13"/>
    </row>
    <row r="336" spans="107:116" ht="12.75" customHeight="1">
      <c r="DC336" s="19"/>
      <c r="DL336" s="13"/>
    </row>
    <row r="337" spans="107:116" ht="12.75" customHeight="1">
      <c r="DC337" s="19"/>
      <c r="DL337" s="13"/>
    </row>
    <row r="338" spans="107:116" ht="12.75" customHeight="1">
      <c r="DC338" s="19"/>
      <c r="DL338" s="13"/>
    </row>
    <row r="339" spans="107:116" ht="12.75" customHeight="1">
      <c r="DC339" s="19"/>
      <c r="DL339" s="13"/>
    </row>
    <row r="340" spans="107:116" ht="12.75" customHeight="1">
      <c r="DC340" s="19"/>
      <c r="DL340" s="13"/>
    </row>
    <row r="341" spans="107:116" ht="12.75" customHeight="1">
      <c r="DC341" s="19"/>
      <c r="DL341" s="13"/>
    </row>
    <row r="342" spans="107:116" ht="12.75" customHeight="1">
      <c r="DC342" s="19"/>
      <c r="DL342" s="13"/>
    </row>
    <row r="343" spans="107:116" ht="12.75" customHeight="1">
      <c r="DC343" s="19"/>
      <c r="DL343" s="13"/>
    </row>
    <row r="344" spans="107:116" ht="12.75" customHeight="1">
      <c r="DC344" s="19"/>
      <c r="DL344" s="13"/>
    </row>
    <row r="345" spans="107:116" ht="12.75" customHeight="1">
      <c r="DC345" s="19"/>
      <c r="DL345" s="13"/>
    </row>
    <row r="346" spans="107:116" ht="12.75" customHeight="1">
      <c r="DC346" s="19"/>
      <c r="DL346" s="13"/>
    </row>
    <row r="347" spans="107:116" ht="12.75" customHeight="1">
      <c r="DC347" s="19"/>
      <c r="DL347" s="13"/>
    </row>
    <row r="348" spans="107:116" ht="12.75" customHeight="1">
      <c r="DC348" s="19"/>
      <c r="DL348" s="13"/>
    </row>
    <row r="349" spans="107:116" ht="12.75" customHeight="1">
      <c r="DC349" s="19"/>
      <c r="DL349" s="13"/>
    </row>
    <row r="350" spans="107:116" ht="12.75" customHeight="1">
      <c r="DC350" s="19"/>
      <c r="DL350" s="13"/>
    </row>
    <row r="351" spans="107:116" ht="12.75" customHeight="1">
      <c r="DC351" s="19"/>
      <c r="DL351" s="13"/>
    </row>
    <row r="352" spans="107:116" ht="12.75" customHeight="1">
      <c r="DC352" s="19"/>
      <c r="DL352" s="13"/>
    </row>
    <row r="353" spans="107:116" ht="12.75" customHeight="1">
      <c r="DC353" s="19"/>
      <c r="DL353" s="13"/>
    </row>
    <row r="354" spans="107:116" ht="12.75" customHeight="1">
      <c r="DC354" s="19"/>
      <c r="DL354" s="13"/>
    </row>
    <row r="355" spans="107:116" ht="12.75" customHeight="1">
      <c r="DC355" s="19"/>
      <c r="DL355" s="13"/>
    </row>
    <row r="356" spans="107:116" ht="12.75" customHeight="1">
      <c r="DC356" s="19"/>
      <c r="DL356" s="13"/>
    </row>
    <row r="357" spans="107:116" ht="12.75" customHeight="1">
      <c r="DC357" s="19"/>
      <c r="DL357" s="13"/>
    </row>
    <row r="358" spans="107:116" ht="12.75" customHeight="1">
      <c r="DC358" s="19"/>
      <c r="DL358" s="13"/>
    </row>
    <row r="359" spans="107:116" ht="12.75" customHeight="1">
      <c r="DC359" s="19"/>
      <c r="DL359" s="13"/>
    </row>
    <row r="360" spans="107:116" ht="12.75" customHeight="1">
      <c r="DC360" s="19"/>
      <c r="DL360" s="13"/>
    </row>
    <row r="361" spans="107:116" ht="12.75" customHeight="1">
      <c r="DC361" s="19"/>
      <c r="DL361" s="13"/>
    </row>
    <row r="362" spans="107:116" ht="12.75" customHeight="1">
      <c r="DC362" s="19"/>
      <c r="DL362" s="13"/>
    </row>
    <row r="363" spans="107:116" ht="12.75" customHeight="1">
      <c r="DC363" s="19"/>
      <c r="DL363" s="13"/>
    </row>
    <row r="364" spans="107:116" ht="12.75" customHeight="1">
      <c r="DC364" s="19"/>
      <c r="DL364" s="13"/>
    </row>
    <row r="365" spans="107:116" ht="12.75" customHeight="1">
      <c r="DC365" s="19"/>
      <c r="DL365" s="13"/>
    </row>
    <row r="366" spans="107:116" ht="12.75" customHeight="1">
      <c r="DC366" s="19"/>
      <c r="DL366" s="13"/>
    </row>
    <row r="367" spans="107:116" ht="12.75" customHeight="1">
      <c r="DC367" s="19"/>
      <c r="DL367" s="13"/>
    </row>
    <row r="368" spans="107:116" ht="12.75" customHeight="1">
      <c r="DC368" s="19"/>
      <c r="DL368" s="13"/>
    </row>
    <row r="369" spans="107:116" ht="12.75" customHeight="1">
      <c r="DC369" s="19"/>
      <c r="DL369" s="13"/>
    </row>
    <row r="370" spans="107:116" ht="12.75" customHeight="1">
      <c r="DC370" s="19"/>
      <c r="DL370" s="13"/>
    </row>
    <row r="371" spans="107:116" ht="12.75" customHeight="1">
      <c r="DC371" s="19"/>
      <c r="DL371" s="13"/>
    </row>
    <row r="372" spans="107:116" ht="12.75" customHeight="1">
      <c r="DC372" s="19"/>
      <c r="DL372" s="13"/>
    </row>
    <row r="373" spans="107:116" ht="12.75" customHeight="1">
      <c r="DC373" s="19"/>
      <c r="DL373" s="13"/>
    </row>
    <row r="374" spans="107:116" ht="12.75" customHeight="1">
      <c r="DC374" s="19"/>
      <c r="DL374" s="13"/>
    </row>
    <row r="375" spans="107:116" ht="12.75" customHeight="1">
      <c r="DC375" s="19"/>
      <c r="DL375" s="13"/>
    </row>
    <row r="376" spans="107:116" ht="12.75" customHeight="1">
      <c r="DC376" s="19"/>
      <c r="DL376" s="13"/>
    </row>
    <row r="377" spans="107:116" ht="12.75" customHeight="1">
      <c r="DC377" s="19"/>
      <c r="DL377" s="13"/>
    </row>
    <row r="378" spans="107:116" ht="12.75" customHeight="1">
      <c r="DC378" s="19"/>
      <c r="DL378" s="13"/>
    </row>
    <row r="379" spans="107:116" ht="12.75" customHeight="1">
      <c r="DC379" s="19"/>
      <c r="DL379" s="13"/>
    </row>
    <row r="380" spans="107:116" ht="12.75" customHeight="1">
      <c r="DC380" s="19"/>
      <c r="DL380" s="13"/>
    </row>
    <row r="381" spans="107:116" ht="12.75" customHeight="1">
      <c r="DC381" s="19"/>
      <c r="DL381" s="13"/>
    </row>
    <row r="382" spans="107:116" ht="12.75" customHeight="1">
      <c r="DC382" s="19"/>
      <c r="DL382" s="13"/>
    </row>
    <row r="383" spans="107:116" ht="12.75" customHeight="1">
      <c r="DC383" s="19"/>
      <c r="DL383" s="13"/>
    </row>
    <row r="384" spans="107:116" ht="12.75" customHeight="1">
      <c r="DC384" s="19"/>
      <c r="DL384" s="13"/>
    </row>
    <row r="385" spans="107:116" ht="12.75" customHeight="1">
      <c r="DC385" s="19"/>
      <c r="DL385" s="13"/>
    </row>
    <row r="386" spans="107:116" ht="12.75" customHeight="1">
      <c r="DC386" s="19"/>
      <c r="DL386" s="13"/>
    </row>
    <row r="387" spans="107:116" ht="12.75" customHeight="1">
      <c r="DC387" s="19"/>
      <c r="DL387" s="13"/>
    </row>
    <row r="388" spans="107:116" ht="12.75" customHeight="1">
      <c r="DC388" s="19"/>
      <c r="DL388" s="13"/>
    </row>
    <row r="389" spans="107:116" ht="12.75" customHeight="1">
      <c r="DC389" s="19"/>
      <c r="DL389" s="13"/>
    </row>
    <row r="390" spans="107:116" ht="12.75" customHeight="1">
      <c r="DC390" s="19"/>
      <c r="DL390" s="13"/>
    </row>
    <row r="391" spans="107:116" ht="12.75" customHeight="1">
      <c r="DC391" s="19"/>
      <c r="DL391" s="13"/>
    </row>
    <row r="392" spans="107:116" ht="12.75" customHeight="1">
      <c r="DC392" s="19"/>
      <c r="DL392" s="13"/>
    </row>
    <row r="393" spans="107:116" ht="12.75" customHeight="1">
      <c r="DC393" s="19"/>
      <c r="DL393" s="13"/>
    </row>
    <row r="394" spans="107:116" ht="12.75" customHeight="1">
      <c r="DC394" s="19"/>
      <c r="DL394" s="13"/>
    </row>
    <row r="395" spans="107:116" ht="12.75" customHeight="1">
      <c r="DC395" s="19"/>
      <c r="DL395" s="13"/>
    </row>
    <row r="396" spans="107:116" ht="12.75" customHeight="1">
      <c r="DC396" s="19"/>
      <c r="DL396" s="13"/>
    </row>
    <row r="397" spans="107:116" ht="12.75" customHeight="1">
      <c r="DC397" s="19"/>
      <c r="DL397" s="13"/>
    </row>
    <row r="398" spans="107:116" ht="12.75" customHeight="1">
      <c r="DC398" s="19"/>
      <c r="DL398" s="13"/>
    </row>
    <row r="399" spans="107:116" ht="12.75" customHeight="1">
      <c r="DC399" s="19"/>
      <c r="DL399" s="13"/>
    </row>
    <row r="400" spans="107:116" ht="12.75" customHeight="1">
      <c r="DC400" s="19"/>
      <c r="DL400" s="13"/>
    </row>
    <row r="401" spans="107:116" ht="12.75" customHeight="1">
      <c r="DC401" s="19"/>
      <c r="DL401" s="13"/>
    </row>
    <row r="402" spans="107:116" ht="12.75" customHeight="1">
      <c r="DC402" s="19"/>
      <c r="DL402" s="13"/>
    </row>
    <row r="403" spans="107:116" ht="12.75" customHeight="1">
      <c r="DC403" s="19"/>
      <c r="DL403" s="13"/>
    </row>
    <row r="404" spans="107:116" ht="12.75" customHeight="1">
      <c r="DC404" s="19"/>
      <c r="DL404" s="13"/>
    </row>
    <row r="405" spans="107:116" ht="12.75" customHeight="1">
      <c r="DC405" s="19"/>
      <c r="DL405" s="13"/>
    </row>
    <row r="406" spans="107:116" ht="12.75" customHeight="1">
      <c r="DC406" s="19"/>
      <c r="DL406" s="13"/>
    </row>
    <row r="407" spans="107:116" ht="12.75" customHeight="1">
      <c r="DC407" s="19"/>
      <c r="DL407" s="13"/>
    </row>
    <row r="408" spans="107:116" ht="12.75" customHeight="1">
      <c r="DC408" s="19"/>
      <c r="DL408" s="13"/>
    </row>
    <row r="409" spans="107:116" ht="12.75" customHeight="1">
      <c r="DC409" s="19"/>
      <c r="DL409" s="13"/>
    </row>
    <row r="410" spans="107:116" ht="12.75" customHeight="1">
      <c r="DC410" s="19"/>
      <c r="DL410" s="13"/>
    </row>
    <row r="411" spans="107:116" ht="12.75" customHeight="1">
      <c r="DC411" s="19"/>
      <c r="DL411" s="13"/>
    </row>
    <row r="412" spans="107:116" ht="12.75" customHeight="1">
      <c r="DC412" s="19"/>
      <c r="DL412" s="13"/>
    </row>
    <row r="413" spans="107:116" ht="12.75" customHeight="1">
      <c r="DC413" s="19"/>
      <c r="DL413" s="13"/>
    </row>
    <row r="414" spans="107:116" ht="12.75" customHeight="1">
      <c r="DC414" s="19"/>
      <c r="DL414" s="13"/>
    </row>
    <row r="415" spans="107:116" ht="12.75" customHeight="1">
      <c r="DC415" s="19"/>
      <c r="DL415" s="13"/>
    </row>
    <row r="416" spans="107:116" ht="12.75" customHeight="1">
      <c r="DC416" s="19"/>
      <c r="DL416" s="13"/>
    </row>
    <row r="417" spans="107:116" ht="12.75" customHeight="1">
      <c r="DC417" s="19"/>
      <c r="DL417" s="13"/>
    </row>
    <row r="418" spans="107:116" ht="12.75" customHeight="1">
      <c r="DC418" s="19"/>
      <c r="DL418" s="13"/>
    </row>
    <row r="419" spans="107:116" ht="12.75" customHeight="1">
      <c r="DC419" s="19"/>
      <c r="DL419" s="13"/>
    </row>
    <row r="420" spans="107:116" ht="12.75" customHeight="1">
      <c r="DC420" s="19"/>
      <c r="DL420" s="13"/>
    </row>
    <row r="421" spans="107:116" ht="12.75" customHeight="1">
      <c r="DC421" s="19"/>
      <c r="DL421" s="13"/>
    </row>
    <row r="422" spans="107:116" ht="12.75" customHeight="1">
      <c r="DC422" s="19"/>
      <c r="DL422" s="13"/>
    </row>
    <row r="423" spans="107:116" ht="12.75" customHeight="1">
      <c r="DC423" s="19"/>
      <c r="DL423" s="13"/>
    </row>
    <row r="424" spans="107:116" ht="12.75" customHeight="1">
      <c r="DC424" s="19"/>
      <c r="DL424" s="13"/>
    </row>
    <row r="425" spans="107:116" ht="12.75" customHeight="1">
      <c r="DC425" s="19"/>
      <c r="DL425" s="13"/>
    </row>
    <row r="426" spans="107:116" ht="12.75" customHeight="1">
      <c r="DC426" s="19"/>
      <c r="DL426" s="13"/>
    </row>
    <row r="427" spans="107:116" ht="12.75" customHeight="1">
      <c r="DC427" s="19"/>
      <c r="DL427" s="13"/>
    </row>
    <row r="428" spans="107:116" ht="12.75" customHeight="1">
      <c r="DC428" s="19"/>
      <c r="DL428" s="13"/>
    </row>
    <row r="429" spans="107:116" ht="12.75" customHeight="1">
      <c r="DC429" s="19"/>
      <c r="DL429" s="13"/>
    </row>
    <row r="430" spans="107:116" ht="12.75" customHeight="1">
      <c r="DC430" s="19"/>
      <c r="DL430" s="13"/>
    </row>
    <row r="431" spans="107:116" ht="12.75" customHeight="1">
      <c r="DC431" s="19"/>
      <c r="DL431" s="13"/>
    </row>
    <row r="432" spans="107:116" ht="12.75" customHeight="1">
      <c r="DC432" s="19"/>
      <c r="DL432" s="13"/>
    </row>
    <row r="433" spans="107:116" ht="12.75" customHeight="1">
      <c r="DC433" s="19"/>
      <c r="DL433" s="13"/>
    </row>
    <row r="434" spans="107:116" ht="12.75" customHeight="1">
      <c r="DC434" s="19"/>
      <c r="DL434" s="13"/>
    </row>
    <row r="435" spans="107:116" ht="12.75" customHeight="1">
      <c r="DC435" s="19"/>
      <c r="DL435" s="13"/>
    </row>
    <row r="436" spans="107:116" ht="12.75" customHeight="1">
      <c r="DC436" s="19"/>
      <c r="DL436" s="13"/>
    </row>
    <row r="437" spans="107:116" ht="12.75" customHeight="1">
      <c r="DC437" s="19"/>
      <c r="DL437" s="13"/>
    </row>
    <row r="438" spans="107:116" ht="12.75" customHeight="1">
      <c r="DC438" s="19"/>
      <c r="DL438" s="13"/>
    </row>
    <row r="439" spans="107:116" ht="12.75" customHeight="1">
      <c r="DC439" s="19"/>
      <c r="DL439" s="13"/>
    </row>
    <row r="440" spans="107:116" ht="12.75" customHeight="1">
      <c r="DC440" s="19"/>
      <c r="DL440" s="13"/>
    </row>
    <row r="441" spans="107:116" ht="12.75" customHeight="1">
      <c r="DC441" s="19"/>
      <c r="DL441" s="13"/>
    </row>
    <row r="442" spans="107:116" ht="12.75" customHeight="1">
      <c r="DC442" s="19"/>
      <c r="DL442" s="13"/>
    </row>
    <row r="443" spans="107:116" ht="12.75" customHeight="1">
      <c r="DC443" s="19"/>
      <c r="DL443" s="13"/>
    </row>
    <row r="444" spans="107:116" ht="12.75" customHeight="1">
      <c r="DC444" s="19"/>
      <c r="DL444" s="13"/>
    </row>
    <row r="445" spans="107:116" ht="12.75" customHeight="1">
      <c r="DC445" s="19"/>
      <c r="DL445" s="13"/>
    </row>
    <row r="446" spans="107:116" ht="12.75" customHeight="1">
      <c r="DC446" s="19"/>
      <c r="DL446" s="13"/>
    </row>
    <row r="447" spans="107:116" ht="12.75" customHeight="1">
      <c r="DC447" s="19"/>
      <c r="DL447" s="13"/>
    </row>
    <row r="448" spans="107:116" ht="12.75" customHeight="1">
      <c r="DC448" s="19"/>
      <c r="DL448" s="13"/>
    </row>
    <row r="449" spans="107:116" ht="12.75" customHeight="1">
      <c r="DC449" s="19"/>
      <c r="DL449" s="13"/>
    </row>
    <row r="450" spans="107:116" ht="12.75" customHeight="1">
      <c r="DC450" s="19"/>
      <c r="DL450" s="13"/>
    </row>
    <row r="451" spans="107:116" ht="12.75" customHeight="1">
      <c r="DC451" s="19"/>
      <c r="DL451" s="13"/>
    </row>
    <row r="452" spans="107:116" ht="12.75" customHeight="1">
      <c r="DC452" s="19"/>
      <c r="DL452" s="13"/>
    </row>
    <row r="453" spans="107:116" ht="12.75" customHeight="1">
      <c r="DC453" s="19"/>
      <c r="DL453" s="13"/>
    </row>
    <row r="454" spans="107:116" ht="12.75" customHeight="1">
      <c r="DC454" s="19"/>
      <c r="DL454" s="13"/>
    </row>
    <row r="455" spans="107:116" ht="12.75" customHeight="1">
      <c r="DC455" s="19"/>
      <c r="DL455" s="13"/>
    </row>
    <row r="456" spans="107:116" ht="12.75" customHeight="1">
      <c r="DC456" s="19"/>
      <c r="DL456" s="13"/>
    </row>
    <row r="457" spans="107:116" ht="12.75" customHeight="1">
      <c r="DC457" s="19"/>
      <c r="DL457" s="13"/>
    </row>
    <row r="458" spans="107:116" ht="12.75" customHeight="1">
      <c r="DC458" s="19"/>
      <c r="DL458" s="13"/>
    </row>
    <row r="459" spans="107:116" ht="12.75" customHeight="1">
      <c r="DC459" s="19"/>
      <c r="DL459" s="13"/>
    </row>
    <row r="460" spans="107:116" ht="12.75" customHeight="1">
      <c r="DC460" s="19"/>
      <c r="DL460" s="13"/>
    </row>
    <row r="461" spans="107:116" ht="12.75" customHeight="1">
      <c r="DC461" s="19"/>
      <c r="DL461" s="13"/>
    </row>
    <row r="462" spans="107:116" ht="12.75" customHeight="1">
      <c r="DC462" s="19"/>
      <c r="DL462" s="13"/>
    </row>
    <row r="463" spans="107:116" ht="12.75" customHeight="1">
      <c r="DC463" s="19"/>
      <c r="DL463" s="13"/>
    </row>
    <row r="464" spans="107:116" ht="12.75" customHeight="1">
      <c r="DC464" s="19"/>
      <c r="DL464" s="13"/>
    </row>
    <row r="465" spans="107:116" ht="12.75" customHeight="1">
      <c r="DC465" s="19"/>
      <c r="DL465" s="13"/>
    </row>
    <row r="466" spans="107:116" ht="12.75" customHeight="1">
      <c r="DC466" s="19"/>
      <c r="DL466" s="13"/>
    </row>
    <row r="467" spans="107:116" ht="12.75" customHeight="1">
      <c r="DC467" s="19"/>
      <c r="DL467" s="13"/>
    </row>
    <row r="468" spans="107:116" ht="12.75" customHeight="1">
      <c r="DC468" s="19"/>
      <c r="DL468" s="13"/>
    </row>
    <row r="469" spans="107:116" ht="12.75" customHeight="1">
      <c r="DC469" s="19"/>
      <c r="DL469" s="13"/>
    </row>
    <row r="470" spans="107:116" ht="12.75" customHeight="1">
      <c r="DC470" s="19"/>
      <c r="DL470" s="13"/>
    </row>
    <row r="471" spans="107:116" ht="12.75" customHeight="1">
      <c r="DC471" s="19"/>
      <c r="DL471" s="13"/>
    </row>
    <row r="472" spans="107:116" ht="12.75" customHeight="1">
      <c r="DC472" s="19"/>
      <c r="DL472" s="13"/>
    </row>
    <row r="473" spans="107:116" ht="12.75" customHeight="1">
      <c r="DC473" s="19"/>
      <c r="DL473" s="13"/>
    </row>
    <row r="474" spans="107:116" ht="12.75" customHeight="1">
      <c r="DC474" s="19"/>
      <c r="DL474" s="13"/>
    </row>
    <row r="475" spans="107:116" ht="12.75" customHeight="1">
      <c r="DC475" s="19"/>
      <c r="DL475" s="13"/>
    </row>
    <row r="476" spans="107:116" ht="12.75" customHeight="1">
      <c r="DC476" s="19"/>
      <c r="DL476" s="13"/>
    </row>
    <row r="477" spans="107:116" ht="12.75" customHeight="1">
      <c r="DC477" s="19"/>
      <c r="DL477" s="13"/>
    </row>
    <row r="478" spans="107:116" ht="12.75" customHeight="1">
      <c r="DC478" s="19"/>
      <c r="DL478" s="13"/>
    </row>
    <row r="479" spans="107:116" ht="12.75" customHeight="1">
      <c r="DC479" s="19"/>
      <c r="DL479" s="13"/>
    </row>
    <row r="480" spans="107:116" ht="12.75" customHeight="1">
      <c r="DC480" s="19"/>
      <c r="DL480" s="13"/>
    </row>
    <row r="481" spans="107:116" ht="12.75" customHeight="1">
      <c r="DC481" s="19"/>
      <c r="DL481" s="13"/>
    </row>
    <row r="482" spans="107:116" ht="12.75" customHeight="1">
      <c r="DC482" s="19"/>
      <c r="DL482" s="13"/>
    </row>
    <row r="483" spans="107:116" ht="12.75" customHeight="1">
      <c r="DC483" s="19"/>
      <c r="DL483" s="13"/>
    </row>
    <row r="484" spans="107:116" ht="12.75" customHeight="1">
      <c r="DC484" s="19"/>
      <c r="DL484" s="13"/>
    </row>
    <row r="485" spans="107:116" ht="12.75" customHeight="1">
      <c r="DC485" s="19"/>
      <c r="DL485" s="13"/>
    </row>
    <row r="486" spans="107:116" ht="12.75" customHeight="1">
      <c r="DC486" s="19"/>
      <c r="DL486" s="13"/>
    </row>
    <row r="487" spans="107:116" ht="12.75" customHeight="1">
      <c r="DC487" s="19"/>
      <c r="DL487" s="13"/>
    </row>
    <row r="488" spans="107:116" ht="12.75" customHeight="1">
      <c r="DC488" s="19"/>
      <c r="DL488" s="13"/>
    </row>
    <row r="489" spans="107:116" ht="12.75" customHeight="1">
      <c r="DC489" s="19"/>
      <c r="DL489" s="13"/>
    </row>
    <row r="490" spans="107:116" ht="12.75" customHeight="1">
      <c r="DC490" s="19"/>
      <c r="DL490" s="13"/>
    </row>
    <row r="491" spans="107:116" ht="12.75" customHeight="1">
      <c r="DC491" s="19"/>
      <c r="DL491" s="13"/>
    </row>
    <row r="492" spans="107:116" ht="12.75" customHeight="1">
      <c r="DC492" s="19"/>
      <c r="DL492" s="13"/>
    </row>
    <row r="493" spans="107:116" ht="12.75" customHeight="1">
      <c r="DC493" s="19"/>
      <c r="DL493" s="13"/>
    </row>
    <row r="494" spans="107:116" ht="12.75" customHeight="1">
      <c r="DC494" s="19"/>
      <c r="DL494" s="13"/>
    </row>
    <row r="495" spans="107:116" ht="12.75" customHeight="1">
      <c r="DC495" s="19"/>
      <c r="DL495" s="13"/>
    </row>
    <row r="496" spans="107:116" ht="12.75" customHeight="1">
      <c r="DC496" s="19"/>
      <c r="DL496" s="13"/>
    </row>
    <row r="497" spans="107:116" ht="12.75" customHeight="1">
      <c r="DC497" s="19"/>
      <c r="DL497" s="13"/>
    </row>
    <row r="498" spans="107:116" ht="12.75" customHeight="1">
      <c r="DC498" s="19"/>
      <c r="DL498" s="13"/>
    </row>
    <row r="499" spans="107:116" ht="12.75" customHeight="1">
      <c r="DC499" s="19"/>
      <c r="DL499" s="13"/>
    </row>
    <row r="500" spans="107:116" ht="12.75" customHeight="1">
      <c r="DC500" s="19"/>
      <c r="DL500" s="13"/>
    </row>
    <row r="501" spans="107:116" ht="12.75" customHeight="1">
      <c r="DC501" s="19"/>
      <c r="DL501" s="13"/>
    </row>
    <row r="502" spans="107:116" ht="12.75" customHeight="1">
      <c r="DC502" s="19"/>
      <c r="DL502" s="13"/>
    </row>
    <row r="503" spans="107:116" ht="12.75" customHeight="1">
      <c r="DC503" s="19"/>
      <c r="DL503" s="13"/>
    </row>
    <row r="504" spans="107:116" ht="12.75" customHeight="1">
      <c r="DC504" s="19"/>
      <c r="DL504" s="13"/>
    </row>
    <row r="505" spans="107:116" ht="12.75" customHeight="1">
      <c r="DC505" s="19"/>
      <c r="DL505" s="13"/>
    </row>
    <row r="506" spans="107:116" ht="12.75" customHeight="1">
      <c r="DC506" s="19"/>
      <c r="DL506" s="13"/>
    </row>
    <row r="507" spans="107:116" ht="12.75" customHeight="1">
      <c r="DC507" s="19"/>
      <c r="DL507" s="13"/>
    </row>
    <row r="508" spans="107:116" ht="12.75" customHeight="1">
      <c r="DC508" s="19"/>
      <c r="DL508" s="13"/>
    </row>
    <row r="509" spans="107:116" ht="12.75" customHeight="1">
      <c r="DC509" s="19"/>
      <c r="DL509" s="13"/>
    </row>
    <row r="510" spans="107:116" ht="12.75" customHeight="1">
      <c r="DC510" s="19"/>
      <c r="DL510" s="13"/>
    </row>
    <row r="511" spans="107:116" ht="12.75" customHeight="1">
      <c r="DC511" s="19"/>
      <c r="DL511" s="13"/>
    </row>
    <row r="512" spans="107:116" ht="12.75" customHeight="1">
      <c r="DC512" s="19"/>
      <c r="DL512" s="13"/>
    </row>
    <row r="513" spans="107:116" ht="12.75" customHeight="1">
      <c r="DC513" s="19"/>
      <c r="DL513" s="13"/>
    </row>
    <row r="514" spans="107:116" ht="12.75" customHeight="1">
      <c r="DC514" s="19"/>
      <c r="DL514" s="13"/>
    </row>
    <row r="515" spans="107:116" ht="12.75" customHeight="1">
      <c r="DC515" s="19"/>
      <c r="DL515" s="13"/>
    </row>
    <row r="516" spans="107:116" ht="12.75" customHeight="1">
      <c r="DC516" s="19"/>
      <c r="DL516" s="13"/>
    </row>
    <row r="517" spans="107:116" ht="12.75" customHeight="1">
      <c r="DC517" s="19"/>
      <c r="DL517" s="13"/>
    </row>
    <row r="518" spans="107:116" ht="12.75" customHeight="1">
      <c r="DC518" s="19"/>
      <c r="DL518" s="13"/>
    </row>
    <row r="519" spans="107:116" ht="12.75" customHeight="1">
      <c r="DC519" s="19"/>
      <c r="DL519" s="13"/>
    </row>
    <row r="520" spans="107:116" ht="12.75" customHeight="1">
      <c r="DC520" s="19"/>
      <c r="DL520" s="13"/>
    </row>
    <row r="521" spans="107:116" ht="12.75" customHeight="1">
      <c r="DC521" s="19"/>
      <c r="DL521" s="13"/>
    </row>
    <row r="522" spans="107:116" ht="12.75" customHeight="1">
      <c r="DC522" s="19"/>
      <c r="DL522" s="13"/>
    </row>
    <row r="523" spans="107:116" ht="12.75" customHeight="1">
      <c r="DC523" s="19"/>
      <c r="DL523" s="13"/>
    </row>
    <row r="524" spans="107:116" ht="12.75" customHeight="1">
      <c r="DC524" s="19"/>
      <c r="DL524" s="13"/>
    </row>
    <row r="525" spans="107:116" ht="12.75" customHeight="1">
      <c r="DC525" s="19"/>
      <c r="DL525" s="13"/>
    </row>
    <row r="526" spans="107:116" ht="12.75" customHeight="1">
      <c r="DC526" s="19"/>
      <c r="DL526" s="13"/>
    </row>
    <row r="527" spans="107:116" ht="12.75" customHeight="1">
      <c r="DC527" s="19"/>
      <c r="DL527" s="13"/>
    </row>
    <row r="528" spans="107:116" ht="12.75" customHeight="1">
      <c r="DC528" s="19"/>
      <c r="DL528" s="13"/>
    </row>
    <row r="529" spans="107:116" ht="12.75" customHeight="1">
      <c r="DC529" s="19"/>
      <c r="DL529" s="13"/>
    </row>
    <row r="530" spans="107:116" ht="12.75" customHeight="1">
      <c r="DC530" s="19"/>
      <c r="DL530" s="13"/>
    </row>
    <row r="531" spans="107:116" ht="12.75" customHeight="1">
      <c r="DC531" s="19"/>
      <c r="DL531" s="13"/>
    </row>
    <row r="532" spans="107:116" ht="12.75" customHeight="1">
      <c r="DC532" s="19"/>
      <c r="DL532" s="13"/>
    </row>
    <row r="533" spans="107:116" ht="12.75" customHeight="1">
      <c r="DC533" s="19"/>
      <c r="DL533" s="13"/>
    </row>
    <row r="534" spans="107:116" ht="12.75" customHeight="1">
      <c r="DC534" s="19"/>
      <c r="DL534" s="13"/>
    </row>
    <row r="535" spans="107:116" ht="12.75" customHeight="1">
      <c r="DC535" s="19"/>
      <c r="DL535" s="13"/>
    </row>
    <row r="536" spans="107:116" ht="12.75" customHeight="1">
      <c r="DC536" s="19"/>
      <c r="DL536" s="13"/>
    </row>
    <row r="537" spans="107:116" ht="12.75" customHeight="1">
      <c r="DC537" s="19"/>
      <c r="DL537" s="13"/>
    </row>
    <row r="538" spans="107:116" ht="12.75" customHeight="1">
      <c r="DC538" s="19"/>
      <c r="DL538" s="13"/>
    </row>
    <row r="539" spans="107:116" ht="12.75" customHeight="1">
      <c r="DC539" s="19"/>
      <c r="DL539" s="13"/>
    </row>
    <row r="540" spans="107:116" ht="12.75" customHeight="1">
      <c r="DC540" s="19"/>
      <c r="DL540" s="13"/>
    </row>
    <row r="541" spans="107:116" ht="12.75" customHeight="1">
      <c r="DC541" s="19"/>
      <c r="DL541" s="13"/>
    </row>
    <row r="542" spans="107:116" ht="12.75" customHeight="1">
      <c r="DC542" s="19"/>
      <c r="DL542" s="13"/>
    </row>
    <row r="543" spans="107:116" ht="12.75" customHeight="1">
      <c r="DC543" s="19"/>
      <c r="DL543" s="13"/>
    </row>
    <row r="544" spans="107:116" ht="12.75" customHeight="1">
      <c r="DC544" s="19"/>
      <c r="DL544" s="13"/>
    </row>
    <row r="545" spans="107:116" ht="12.75" customHeight="1">
      <c r="DC545" s="19"/>
      <c r="DL545" s="13"/>
    </row>
    <row r="546" spans="107:116" ht="12.75" customHeight="1">
      <c r="DC546" s="19"/>
      <c r="DL546" s="13"/>
    </row>
    <row r="547" spans="107:116" ht="12.75" customHeight="1">
      <c r="DC547" s="19"/>
      <c r="DL547" s="13"/>
    </row>
    <row r="548" spans="107:116" ht="12.75" customHeight="1">
      <c r="DC548" s="19"/>
      <c r="DL548" s="13"/>
    </row>
    <row r="549" spans="107:116" ht="12.75" customHeight="1">
      <c r="DC549" s="19"/>
      <c r="DL549" s="13"/>
    </row>
    <row r="550" spans="107:116" ht="12.75" customHeight="1">
      <c r="DC550" s="19"/>
      <c r="DL550" s="13"/>
    </row>
    <row r="551" spans="107:116" ht="12.75" customHeight="1">
      <c r="DC551" s="19"/>
      <c r="DL551" s="13"/>
    </row>
    <row r="552" spans="107:116" ht="12.75" customHeight="1">
      <c r="DC552" s="19"/>
      <c r="DL552" s="13"/>
    </row>
    <row r="553" spans="107:116" ht="12.75" customHeight="1">
      <c r="DC553" s="19"/>
      <c r="DL553" s="13"/>
    </row>
    <row r="554" spans="107:116" ht="12.75" customHeight="1">
      <c r="DC554" s="19"/>
      <c r="DL554" s="13"/>
    </row>
    <row r="555" spans="107:116" ht="12.75" customHeight="1">
      <c r="DC555" s="19"/>
      <c r="DL555" s="13"/>
    </row>
    <row r="556" spans="107:116" ht="12.75" customHeight="1">
      <c r="DC556" s="19"/>
      <c r="DL556" s="13"/>
    </row>
    <row r="557" spans="107:116" ht="12.75" customHeight="1">
      <c r="DC557" s="19"/>
      <c r="DL557" s="13"/>
    </row>
    <row r="558" spans="107:116" ht="12.75" customHeight="1">
      <c r="DC558" s="19"/>
      <c r="DL558" s="13"/>
    </row>
    <row r="559" spans="107:116" ht="12.75" customHeight="1">
      <c r="DC559" s="19"/>
      <c r="DL559" s="13"/>
    </row>
    <row r="560" spans="107:116" ht="12.75" customHeight="1">
      <c r="DC560" s="19"/>
      <c r="DL560" s="13"/>
    </row>
    <row r="561" spans="107:116" ht="12.75" customHeight="1">
      <c r="DC561" s="19"/>
      <c r="DL561" s="13"/>
    </row>
    <row r="562" spans="107:116" ht="12.75" customHeight="1">
      <c r="DC562" s="19"/>
      <c r="DL562" s="13"/>
    </row>
    <row r="563" spans="107:116" ht="12.75" customHeight="1">
      <c r="DC563" s="19"/>
      <c r="DL563" s="13"/>
    </row>
    <row r="564" spans="107:116" ht="12.75" customHeight="1">
      <c r="DC564" s="19"/>
      <c r="DL564" s="13"/>
    </row>
    <row r="565" spans="107:116" ht="12.75" customHeight="1">
      <c r="DC565" s="19"/>
      <c r="DL565" s="13"/>
    </row>
    <row r="566" spans="107:116" ht="12.75" customHeight="1">
      <c r="DC566" s="19"/>
      <c r="DL566" s="13"/>
    </row>
    <row r="567" spans="107:116" ht="12.75" customHeight="1">
      <c r="DC567" s="19"/>
      <c r="DL567" s="13"/>
    </row>
    <row r="568" spans="107:116" ht="12.75" customHeight="1">
      <c r="DC568" s="19"/>
      <c r="DL568" s="13"/>
    </row>
    <row r="569" spans="107:116" ht="12.75" customHeight="1">
      <c r="DC569" s="19"/>
      <c r="DL569" s="13"/>
    </row>
    <row r="570" spans="107:116" ht="12.75" customHeight="1">
      <c r="DC570" s="19"/>
      <c r="DL570" s="13"/>
    </row>
    <row r="571" spans="107:116" ht="12.75" customHeight="1">
      <c r="DC571" s="19"/>
      <c r="DL571" s="13"/>
    </row>
    <row r="572" spans="107:116" ht="12.75" customHeight="1">
      <c r="DC572" s="19"/>
      <c r="DL572" s="13"/>
    </row>
    <row r="573" spans="107:116" ht="12.75" customHeight="1">
      <c r="DC573" s="19"/>
      <c r="DL573" s="13"/>
    </row>
    <row r="574" spans="107:116" ht="12.75" customHeight="1">
      <c r="DC574" s="19"/>
      <c r="DL574" s="13"/>
    </row>
    <row r="575" spans="107:116" ht="12.75" customHeight="1">
      <c r="DC575" s="19"/>
      <c r="DL575" s="13"/>
    </row>
    <row r="576" spans="107:116" ht="12.75" customHeight="1">
      <c r="DC576" s="19"/>
      <c r="DL576" s="13"/>
    </row>
    <row r="577" spans="107:116" ht="12.75" customHeight="1">
      <c r="DC577" s="19"/>
      <c r="DL577" s="13"/>
    </row>
    <row r="578" spans="107:116" ht="12.75" customHeight="1">
      <c r="DC578" s="19"/>
      <c r="DL578" s="13"/>
    </row>
    <row r="579" spans="107:116" ht="12.75" customHeight="1">
      <c r="DC579" s="19"/>
      <c r="DL579" s="13"/>
    </row>
    <row r="580" spans="107:116" ht="12.75" customHeight="1">
      <c r="DC580" s="19"/>
      <c r="DL580" s="13"/>
    </row>
    <row r="581" spans="107:116" ht="12.75" customHeight="1">
      <c r="DC581" s="19"/>
      <c r="DL581" s="13"/>
    </row>
    <row r="582" spans="107:116" ht="12.75" customHeight="1">
      <c r="DC582" s="19"/>
      <c r="DL582" s="13"/>
    </row>
    <row r="583" spans="107:116" ht="12.75" customHeight="1">
      <c r="DC583" s="19"/>
      <c r="DL583" s="13"/>
    </row>
    <row r="584" spans="107:116" ht="12.75" customHeight="1">
      <c r="DC584" s="19"/>
      <c r="DL584" s="13"/>
    </row>
    <row r="585" spans="107:116" ht="12.75" customHeight="1">
      <c r="DC585" s="19"/>
      <c r="DL585" s="13"/>
    </row>
    <row r="586" spans="107:116" ht="12.75" customHeight="1">
      <c r="DC586" s="19"/>
      <c r="DL586" s="13"/>
    </row>
    <row r="587" spans="107:116" ht="12.75" customHeight="1">
      <c r="DC587" s="19"/>
      <c r="DL587" s="13"/>
    </row>
    <row r="588" spans="107:116" ht="12.75" customHeight="1">
      <c r="DC588" s="19"/>
      <c r="DL588" s="13"/>
    </row>
    <row r="589" spans="107:116" ht="12.75" customHeight="1">
      <c r="DC589" s="19"/>
      <c r="DL589" s="13"/>
    </row>
    <row r="590" spans="107:116" ht="12.75" customHeight="1">
      <c r="DC590" s="19"/>
      <c r="DL590" s="13"/>
    </row>
    <row r="591" spans="107:116" ht="12.75" customHeight="1">
      <c r="DC591" s="19"/>
      <c r="DL591" s="13"/>
    </row>
    <row r="592" spans="107:116" ht="12.75" customHeight="1">
      <c r="DC592" s="19"/>
      <c r="DL592" s="13"/>
    </row>
    <row r="593" spans="107:116" ht="12.75" customHeight="1">
      <c r="DC593" s="19"/>
      <c r="DL593" s="13"/>
    </row>
    <row r="594" spans="107:116" ht="12.75" customHeight="1">
      <c r="DC594" s="19"/>
      <c r="DL594" s="13"/>
    </row>
    <row r="595" spans="107:116" ht="12.75" customHeight="1">
      <c r="DC595" s="19"/>
      <c r="DL595" s="13"/>
    </row>
    <row r="596" spans="107:116" ht="12.75" customHeight="1">
      <c r="DC596" s="19"/>
      <c r="DL596" s="13"/>
    </row>
    <row r="597" spans="107:116" ht="12.75" customHeight="1">
      <c r="DC597" s="19"/>
      <c r="DL597" s="13"/>
    </row>
    <row r="598" spans="107:116" ht="12.75" customHeight="1">
      <c r="DC598" s="19"/>
      <c r="DL598" s="13"/>
    </row>
    <row r="599" spans="107:116" ht="12.75" customHeight="1">
      <c r="DC599" s="19"/>
      <c r="DL599" s="13"/>
    </row>
    <row r="600" spans="107:116" ht="12.75" customHeight="1">
      <c r="DC600" s="19"/>
      <c r="DL600" s="13"/>
    </row>
    <row r="601" spans="107:116" ht="12.75" customHeight="1">
      <c r="DC601" s="19"/>
      <c r="DL601" s="13"/>
    </row>
    <row r="602" spans="107:116" ht="12.75" customHeight="1">
      <c r="DC602" s="19"/>
      <c r="DL602" s="13"/>
    </row>
    <row r="603" spans="107:116" ht="12.75" customHeight="1">
      <c r="DC603" s="19"/>
      <c r="DL603" s="13"/>
    </row>
    <row r="604" spans="107:116" ht="12.75" customHeight="1">
      <c r="DC604" s="19"/>
      <c r="DL604" s="13"/>
    </row>
    <row r="605" spans="107:116" ht="12.75" customHeight="1">
      <c r="DC605" s="19"/>
      <c r="DL605" s="13"/>
    </row>
    <row r="606" spans="107:116" ht="12.75" customHeight="1">
      <c r="DC606" s="19"/>
      <c r="DL606" s="13"/>
    </row>
    <row r="607" spans="107:116" ht="12.75" customHeight="1">
      <c r="DC607" s="19"/>
      <c r="DL607" s="13"/>
    </row>
    <row r="608" spans="107:116" ht="12.75" customHeight="1">
      <c r="DC608" s="19"/>
      <c r="DL608" s="13"/>
    </row>
    <row r="609" spans="107:116" ht="12.75" customHeight="1">
      <c r="DC609" s="19"/>
      <c r="DL609" s="13"/>
    </row>
    <row r="610" spans="107:116" ht="12.75" customHeight="1">
      <c r="DC610" s="19"/>
      <c r="DL610" s="13"/>
    </row>
    <row r="611" spans="107:116" ht="12.75" customHeight="1">
      <c r="DC611" s="19"/>
      <c r="DL611" s="13"/>
    </row>
    <row r="612" spans="107:116" ht="12.75" customHeight="1">
      <c r="DC612" s="19"/>
      <c r="DL612" s="13"/>
    </row>
    <row r="613" spans="107:116" ht="12.75" customHeight="1">
      <c r="DC613" s="19"/>
      <c r="DL613" s="13"/>
    </row>
    <row r="614" spans="107:116" ht="12.75" customHeight="1">
      <c r="DC614" s="19"/>
      <c r="DL614" s="13"/>
    </row>
    <row r="615" spans="107:116" ht="12.75" customHeight="1">
      <c r="DC615" s="19"/>
      <c r="DL615" s="13"/>
    </row>
    <row r="616" spans="107:116" ht="12.75" customHeight="1">
      <c r="DC616" s="19"/>
      <c r="DL616" s="13"/>
    </row>
    <row r="617" spans="107:116" ht="12.75" customHeight="1">
      <c r="DC617" s="19"/>
      <c r="DL617" s="13"/>
    </row>
    <row r="618" spans="107:116" ht="12.75" customHeight="1">
      <c r="DC618" s="19"/>
      <c r="DL618" s="13"/>
    </row>
    <row r="619" spans="107:116" ht="12.75" customHeight="1">
      <c r="DC619" s="19"/>
      <c r="DL619" s="13"/>
    </row>
    <row r="620" spans="107:116" ht="12.75" customHeight="1">
      <c r="DC620" s="19"/>
      <c r="DL620" s="13"/>
    </row>
    <row r="621" spans="107:116" ht="12.75" customHeight="1">
      <c r="DC621" s="19"/>
      <c r="DL621" s="13"/>
    </row>
    <row r="622" spans="107:116" ht="12.75" customHeight="1">
      <c r="DC622" s="19"/>
      <c r="DL622" s="13"/>
    </row>
    <row r="623" spans="107:116" ht="12.75" customHeight="1">
      <c r="DC623" s="19"/>
      <c r="DL623" s="13"/>
    </row>
    <row r="624" spans="107:116" ht="12.75" customHeight="1">
      <c r="DC624" s="19"/>
      <c r="DL624" s="13"/>
    </row>
    <row r="625" spans="107:116" ht="12.75" customHeight="1">
      <c r="DC625" s="19"/>
      <c r="DL625" s="13"/>
    </row>
    <row r="626" spans="107:116" ht="12.75" customHeight="1">
      <c r="DC626" s="19"/>
      <c r="DL626" s="13"/>
    </row>
    <row r="627" spans="107:116" ht="12.75" customHeight="1">
      <c r="DC627" s="19"/>
      <c r="DL627" s="13"/>
    </row>
    <row r="628" spans="107:116" ht="12.75" customHeight="1">
      <c r="DC628" s="19"/>
      <c r="DL628" s="13"/>
    </row>
    <row r="629" spans="107:116" ht="12.75" customHeight="1">
      <c r="DC629" s="19"/>
      <c r="DL629" s="13"/>
    </row>
    <row r="630" spans="107:116" ht="12.75" customHeight="1">
      <c r="DC630" s="19"/>
      <c r="DL630" s="13"/>
    </row>
    <row r="631" spans="107:116" ht="12.75" customHeight="1">
      <c r="DC631" s="19"/>
      <c r="DL631" s="13"/>
    </row>
    <row r="632" spans="107:116" ht="12.75" customHeight="1">
      <c r="DC632" s="19"/>
      <c r="DL632" s="13"/>
    </row>
    <row r="633" spans="107:116" ht="12.75" customHeight="1">
      <c r="DC633" s="19"/>
      <c r="DL633" s="13"/>
    </row>
    <row r="634" spans="107:116" ht="12.75" customHeight="1">
      <c r="DC634" s="19"/>
      <c r="DL634" s="13"/>
    </row>
    <row r="635" spans="107:116" ht="12.75" customHeight="1">
      <c r="DC635" s="19"/>
      <c r="DL635" s="13"/>
    </row>
    <row r="636" spans="107:116" ht="12.75" customHeight="1">
      <c r="DC636" s="19"/>
      <c r="DL636" s="13"/>
    </row>
    <row r="637" spans="107:116" ht="12.75" customHeight="1">
      <c r="DC637" s="19"/>
      <c r="DL637" s="13"/>
    </row>
    <row r="638" spans="107:116" ht="12.75" customHeight="1">
      <c r="DC638" s="19"/>
      <c r="DL638" s="13"/>
    </row>
    <row r="639" spans="107:116" ht="12.75" customHeight="1">
      <c r="DC639" s="19"/>
      <c r="DL639" s="13"/>
    </row>
    <row r="640" spans="107:116" ht="12.75" customHeight="1">
      <c r="DC640" s="19"/>
      <c r="DL640" s="13"/>
    </row>
    <row r="641" spans="107:116" ht="12.75" customHeight="1">
      <c r="DC641" s="19"/>
      <c r="DL641" s="13"/>
    </row>
    <row r="642" spans="107:116" ht="12.75" customHeight="1">
      <c r="DC642" s="19"/>
      <c r="DL642" s="13"/>
    </row>
    <row r="643" spans="107:116" ht="12.75" customHeight="1">
      <c r="DC643" s="19"/>
      <c r="DL643" s="13"/>
    </row>
    <row r="644" spans="107:116" ht="12.75" customHeight="1">
      <c r="DC644" s="19"/>
      <c r="DL644" s="13"/>
    </row>
    <row r="645" spans="107:116" ht="12.75" customHeight="1">
      <c r="DC645" s="19"/>
      <c r="DL645" s="13"/>
    </row>
    <row r="646" spans="107:116" ht="12.75" customHeight="1">
      <c r="DC646" s="19"/>
      <c r="DL646" s="13"/>
    </row>
    <row r="647" spans="107:116" ht="12.75" customHeight="1">
      <c r="DC647" s="19"/>
      <c r="DL647" s="13"/>
    </row>
    <row r="648" spans="107:116" ht="12.75" customHeight="1">
      <c r="DC648" s="19"/>
      <c r="DL648" s="13"/>
    </row>
    <row r="649" spans="107:116" ht="12.75" customHeight="1">
      <c r="DC649" s="19"/>
      <c r="DL649" s="13"/>
    </row>
    <row r="650" spans="107:116" ht="12.75" customHeight="1">
      <c r="DC650" s="19"/>
      <c r="DL650" s="13"/>
    </row>
    <row r="651" spans="107:116" ht="12.75" customHeight="1">
      <c r="DC651" s="19"/>
      <c r="DL651" s="13"/>
    </row>
    <row r="652" spans="107:116" ht="12.75" customHeight="1">
      <c r="DC652" s="19"/>
      <c r="DL652" s="13"/>
    </row>
    <row r="653" spans="107:116" ht="12.75" customHeight="1">
      <c r="DC653" s="19"/>
      <c r="DL653" s="13"/>
    </row>
    <row r="654" spans="107:116" ht="12.75" customHeight="1">
      <c r="DC654" s="19"/>
      <c r="DL654" s="13"/>
    </row>
    <row r="655" spans="107:116" ht="12.75" customHeight="1">
      <c r="DC655" s="19"/>
      <c r="DL655" s="13"/>
    </row>
    <row r="656" spans="107:116" ht="12.75" customHeight="1">
      <c r="DC656" s="19"/>
      <c r="DL656" s="13"/>
    </row>
    <row r="657" spans="107:116" ht="12.75" customHeight="1">
      <c r="DC657" s="19"/>
      <c r="DL657" s="13"/>
    </row>
    <row r="658" spans="107:116" ht="12.75" customHeight="1">
      <c r="DC658" s="19"/>
      <c r="DL658" s="13"/>
    </row>
    <row r="659" spans="107:116" ht="12.75" customHeight="1">
      <c r="DC659" s="19"/>
      <c r="DL659" s="13"/>
    </row>
    <row r="660" spans="107:116" ht="12.75" customHeight="1">
      <c r="DC660" s="19"/>
      <c r="DL660" s="13"/>
    </row>
    <row r="661" spans="107:116" ht="12.75" customHeight="1">
      <c r="DC661" s="19"/>
      <c r="DL661" s="13"/>
    </row>
    <row r="662" spans="107:116" ht="12.75" customHeight="1">
      <c r="DC662" s="19"/>
      <c r="DL662" s="13"/>
    </row>
    <row r="663" spans="107:116" ht="12.75" customHeight="1">
      <c r="DC663" s="19"/>
      <c r="DL663" s="13"/>
    </row>
    <row r="664" spans="107:116" ht="12.75" customHeight="1">
      <c r="DC664" s="19"/>
      <c r="DL664" s="13"/>
    </row>
    <row r="665" spans="107:116" ht="12.75" customHeight="1">
      <c r="DC665" s="19"/>
      <c r="DL665" s="13"/>
    </row>
    <row r="666" spans="107:116" ht="12.75" customHeight="1">
      <c r="DC666" s="19"/>
      <c r="DL666" s="13"/>
    </row>
    <row r="667" spans="107:116" ht="12.75" customHeight="1">
      <c r="DC667" s="19"/>
      <c r="DL667" s="13"/>
    </row>
    <row r="668" spans="107:116" ht="12.75" customHeight="1">
      <c r="DC668" s="19"/>
      <c r="DL668" s="13"/>
    </row>
    <row r="669" spans="107:116" ht="12.75" customHeight="1">
      <c r="DC669" s="19"/>
      <c r="DL669" s="13"/>
    </row>
    <row r="670" spans="107:116" ht="12.75" customHeight="1">
      <c r="DC670" s="19"/>
      <c r="DL670" s="13"/>
    </row>
    <row r="671" spans="107:116" ht="12.75" customHeight="1">
      <c r="DC671" s="19"/>
      <c r="DL671" s="13"/>
    </row>
    <row r="672" spans="107:116" ht="12.75" customHeight="1">
      <c r="DC672" s="19"/>
      <c r="DL672" s="13"/>
    </row>
    <row r="673" spans="107:116" ht="12.75" customHeight="1">
      <c r="DC673" s="19"/>
      <c r="DL673" s="13"/>
    </row>
    <row r="674" spans="107:116" ht="12.75" customHeight="1">
      <c r="DC674" s="19"/>
      <c r="DL674" s="13"/>
    </row>
    <row r="675" spans="107:116" ht="12.75" customHeight="1">
      <c r="DC675" s="19"/>
      <c r="DL675" s="13"/>
    </row>
    <row r="676" spans="107:116" ht="12.75" customHeight="1">
      <c r="DC676" s="19"/>
      <c r="DL676" s="13"/>
    </row>
    <row r="677" spans="107:116" ht="12.75" customHeight="1">
      <c r="DC677" s="19"/>
      <c r="DL677" s="13"/>
    </row>
    <row r="678" spans="107:116" ht="12.75" customHeight="1">
      <c r="DC678" s="19"/>
      <c r="DL678" s="13"/>
    </row>
    <row r="679" spans="107:116" ht="12.75" customHeight="1">
      <c r="DC679" s="19"/>
      <c r="DL679" s="13"/>
    </row>
    <row r="680" spans="107:116" ht="12.75" customHeight="1">
      <c r="DC680" s="19"/>
      <c r="DL680" s="13"/>
    </row>
    <row r="681" spans="107:116" ht="12.75" customHeight="1">
      <c r="DC681" s="19"/>
      <c r="DL681" s="13"/>
    </row>
    <row r="682" spans="107:116" ht="12.75" customHeight="1">
      <c r="DC682" s="19"/>
      <c r="DL682" s="13"/>
    </row>
    <row r="683" spans="107:116" ht="12.75" customHeight="1">
      <c r="DC683" s="19"/>
      <c r="DL683" s="13"/>
    </row>
    <row r="684" spans="107:116" ht="12.75" customHeight="1">
      <c r="DC684" s="19"/>
      <c r="DL684" s="13"/>
    </row>
    <row r="685" spans="107:116" ht="12.75" customHeight="1">
      <c r="DC685" s="19"/>
      <c r="DL685" s="13"/>
    </row>
    <row r="686" spans="107:116" ht="12.75" customHeight="1">
      <c r="DC686" s="19"/>
      <c r="DL686" s="13"/>
    </row>
    <row r="687" spans="107:116" ht="12.75" customHeight="1">
      <c r="DC687" s="19"/>
      <c r="DL687" s="13"/>
    </row>
    <row r="688" spans="107:116" ht="12.75" customHeight="1">
      <c r="DC688" s="19"/>
      <c r="DL688" s="13"/>
    </row>
    <row r="689" spans="107:116" ht="12.75" customHeight="1">
      <c r="DC689" s="19"/>
      <c r="DL689" s="13"/>
    </row>
    <row r="690" spans="107:116" ht="12.75" customHeight="1">
      <c r="DC690" s="19"/>
      <c r="DL690" s="13"/>
    </row>
    <row r="691" spans="107:116" ht="12.75" customHeight="1">
      <c r="DC691" s="19"/>
      <c r="DL691" s="13"/>
    </row>
    <row r="692" spans="107:116" ht="12.75" customHeight="1">
      <c r="DC692" s="19"/>
      <c r="DL692" s="13"/>
    </row>
    <row r="693" spans="107:116" ht="12.75" customHeight="1">
      <c r="DC693" s="19"/>
      <c r="DL693" s="13"/>
    </row>
    <row r="694" spans="107:116" ht="12.75" customHeight="1">
      <c r="DC694" s="19"/>
      <c r="DL694" s="13"/>
    </row>
    <row r="695" spans="107:116" ht="12.75" customHeight="1">
      <c r="DC695" s="19"/>
      <c r="DL695" s="13"/>
    </row>
    <row r="696" spans="107:116" ht="12.75" customHeight="1">
      <c r="DC696" s="19"/>
      <c r="DL696" s="13"/>
    </row>
    <row r="697" spans="107:116" ht="12.75" customHeight="1">
      <c r="DC697" s="19"/>
      <c r="DL697" s="13"/>
    </row>
    <row r="698" spans="107:116" ht="12.75" customHeight="1">
      <c r="DC698" s="19"/>
      <c r="DL698" s="13"/>
    </row>
    <row r="699" spans="107:116" ht="12.75" customHeight="1">
      <c r="DC699" s="19"/>
      <c r="DL699" s="13"/>
    </row>
    <row r="700" spans="107:116" ht="12.75" customHeight="1">
      <c r="DC700" s="19"/>
      <c r="DL700" s="13"/>
    </row>
    <row r="701" spans="107:116" ht="12.75" customHeight="1">
      <c r="DC701" s="19"/>
      <c r="DL701" s="13"/>
    </row>
    <row r="702" spans="107:116" ht="12.75" customHeight="1">
      <c r="DC702" s="19"/>
      <c r="DL702" s="13"/>
    </row>
    <row r="703" spans="107:116" ht="12.75" customHeight="1">
      <c r="DC703" s="19"/>
      <c r="DL703" s="13"/>
    </row>
    <row r="704" spans="107:116" ht="12.75" customHeight="1">
      <c r="DC704" s="19"/>
      <c r="DL704" s="13"/>
    </row>
    <row r="705" spans="107:116" ht="12.75" customHeight="1">
      <c r="DC705" s="19"/>
      <c r="DL705" s="13"/>
    </row>
    <row r="706" spans="107:116" ht="12.75" customHeight="1">
      <c r="DC706" s="19"/>
      <c r="DL706" s="13"/>
    </row>
    <row r="707" spans="107:116" ht="12.75" customHeight="1">
      <c r="DC707" s="19"/>
      <c r="DL707" s="13"/>
    </row>
    <row r="708" spans="107:116" ht="12.75" customHeight="1">
      <c r="DC708" s="19"/>
      <c r="DL708" s="13"/>
    </row>
    <row r="709" spans="107:116" ht="12.75" customHeight="1">
      <c r="DC709" s="19"/>
      <c r="DL709" s="13"/>
    </row>
    <row r="710" spans="107:116" ht="12.75" customHeight="1">
      <c r="DC710" s="19"/>
      <c r="DL710" s="13"/>
    </row>
    <row r="711" spans="107:116" ht="12.75" customHeight="1">
      <c r="DC711" s="19"/>
      <c r="DL711" s="13"/>
    </row>
    <row r="712" spans="107:116" ht="12.75" customHeight="1">
      <c r="DC712" s="19"/>
      <c r="DL712" s="13"/>
    </row>
    <row r="713" spans="107:116" ht="12.75" customHeight="1">
      <c r="DC713" s="19"/>
      <c r="DL713" s="13"/>
    </row>
    <row r="714" spans="107:116" ht="12.75" customHeight="1">
      <c r="DC714" s="19"/>
      <c r="DL714" s="13"/>
    </row>
    <row r="715" spans="107:116" ht="12.75" customHeight="1">
      <c r="DC715" s="19"/>
      <c r="DL715" s="13"/>
    </row>
    <row r="716" spans="107:116" ht="12.75" customHeight="1">
      <c r="DC716" s="19"/>
      <c r="DL716" s="13"/>
    </row>
    <row r="717" spans="107:116" ht="12.75" customHeight="1">
      <c r="DC717" s="19"/>
      <c r="DL717" s="13"/>
    </row>
    <row r="718" spans="107:116" ht="12.75" customHeight="1">
      <c r="DC718" s="19"/>
      <c r="DL718" s="13"/>
    </row>
    <row r="719" spans="107:116" ht="12.75" customHeight="1">
      <c r="DC719" s="19"/>
      <c r="DL719" s="13"/>
    </row>
    <row r="720" spans="107:116" ht="12.75" customHeight="1">
      <c r="DC720" s="19"/>
      <c r="DL720" s="13"/>
    </row>
    <row r="721" spans="107:116" ht="12.75" customHeight="1">
      <c r="DC721" s="19"/>
      <c r="DL721" s="13"/>
    </row>
    <row r="722" spans="107:116" ht="12.75" customHeight="1">
      <c r="DC722" s="19"/>
      <c r="DL722" s="13"/>
    </row>
    <row r="723" spans="107:116" ht="12.75" customHeight="1">
      <c r="DC723" s="19"/>
      <c r="DL723" s="13"/>
    </row>
    <row r="724" spans="107:116" ht="12.75" customHeight="1">
      <c r="DC724" s="19"/>
      <c r="DL724" s="13"/>
    </row>
    <row r="725" spans="107:116" ht="12.75" customHeight="1">
      <c r="DC725" s="19"/>
      <c r="DL725" s="13"/>
    </row>
    <row r="726" spans="107:116" ht="12.75" customHeight="1">
      <c r="DC726" s="19"/>
      <c r="DL726" s="13"/>
    </row>
    <row r="727" spans="107:116" ht="12.75" customHeight="1">
      <c r="DC727" s="19"/>
      <c r="DL727" s="13"/>
    </row>
    <row r="728" spans="107:116" ht="12.75" customHeight="1">
      <c r="DC728" s="19"/>
      <c r="DL728" s="13"/>
    </row>
    <row r="729" spans="107:116" ht="12.75" customHeight="1">
      <c r="DC729" s="19"/>
      <c r="DL729" s="13"/>
    </row>
    <row r="730" spans="107:116" ht="12.75" customHeight="1">
      <c r="DC730" s="19"/>
      <c r="DL730" s="13"/>
    </row>
    <row r="731" spans="107:116" ht="12.75" customHeight="1">
      <c r="DC731" s="19"/>
      <c r="DL731" s="13"/>
    </row>
    <row r="732" spans="107:116" ht="12.75" customHeight="1">
      <c r="DC732" s="19"/>
      <c r="DL732" s="13"/>
    </row>
    <row r="733" spans="107:116" ht="12.75" customHeight="1">
      <c r="DC733" s="19"/>
      <c r="DL733" s="13"/>
    </row>
    <row r="734" spans="107:116" ht="12.75" customHeight="1">
      <c r="DC734" s="19"/>
      <c r="DL734" s="13"/>
    </row>
    <row r="735" spans="107:116" ht="12.75" customHeight="1">
      <c r="DC735" s="19"/>
      <c r="DL735" s="13"/>
    </row>
    <row r="736" spans="107:116" ht="12.75" customHeight="1">
      <c r="DC736" s="19"/>
      <c r="DL736" s="13"/>
    </row>
    <row r="737" spans="107:116" ht="12.75" customHeight="1">
      <c r="DC737" s="19"/>
      <c r="DL737" s="13"/>
    </row>
    <row r="738" spans="107:116" ht="12.75" customHeight="1">
      <c r="DC738" s="19"/>
      <c r="DL738" s="13"/>
    </row>
    <row r="739" spans="107:116" ht="12.75" customHeight="1">
      <c r="DC739" s="19"/>
      <c r="DL739" s="13"/>
    </row>
    <row r="740" spans="107:116" ht="12.75" customHeight="1">
      <c r="DC740" s="19"/>
      <c r="DL740" s="13"/>
    </row>
    <row r="741" spans="107:116" ht="12.75" customHeight="1">
      <c r="DC741" s="19"/>
      <c r="DL741" s="13"/>
    </row>
    <row r="742" spans="107:116" ht="12.75" customHeight="1">
      <c r="DC742" s="19"/>
      <c r="DL742" s="13"/>
    </row>
    <row r="743" spans="107:116" ht="12.75" customHeight="1">
      <c r="DC743" s="19"/>
      <c r="DL743" s="13"/>
    </row>
    <row r="744" spans="107:116" ht="12.75" customHeight="1">
      <c r="DC744" s="19"/>
      <c r="DL744" s="13"/>
    </row>
    <row r="745" spans="107:116" ht="12.75" customHeight="1">
      <c r="DC745" s="19"/>
      <c r="DL745" s="13"/>
    </row>
    <row r="746" spans="107:116" ht="12.75" customHeight="1">
      <c r="DC746" s="19"/>
      <c r="DL746" s="13"/>
    </row>
    <row r="747" spans="107:116" ht="12.75" customHeight="1">
      <c r="DC747" s="19"/>
      <c r="DL747" s="13"/>
    </row>
    <row r="748" spans="107:116" ht="12.75" customHeight="1">
      <c r="DC748" s="19"/>
      <c r="DL748" s="13"/>
    </row>
    <row r="749" spans="107:116" ht="12.75" customHeight="1">
      <c r="DC749" s="19"/>
      <c r="DL749" s="13"/>
    </row>
    <row r="750" spans="107:116" ht="12.75" customHeight="1">
      <c r="DC750" s="19"/>
      <c r="DL750" s="13"/>
    </row>
    <row r="751" spans="107:116" ht="12.75" customHeight="1">
      <c r="DC751" s="19"/>
      <c r="DL751" s="13"/>
    </row>
    <row r="752" spans="107:116" ht="12.75" customHeight="1">
      <c r="DC752" s="19"/>
      <c r="DL752" s="13"/>
    </row>
    <row r="753" spans="107:116" ht="12.75" customHeight="1">
      <c r="DC753" s="19"/>
      <c r="DL753" s="13"/>
    </row>
    <row r="754" spans="107:116" ht="12.75" customHeight="1">
      <c r="DC754" s="19"/>
      <c r="DL754" s="13"/>
    </row>
    <row r="755" spans="107:116" ht="12.75" customHeight="1">
      <c r="DC755" s="19"/>
      <c r="DL755" s="13"/>
    </row>
    <row r="756" spans="107:116" ht="12.75" customHeight="1">
      <c r="DC756" s="19"/>
      <c r="DL756" s="13"/>
    </row>
    <row r="757" spans="107:116" ht="12.75" customHeight="1">
      <c r="DC757" s="19"/>
      <c r="DL757" s="13"/>
    </row>
    <row r="758" spans="107:116" ht="12.75" customHeight="1">
      <c r="DC758" s="19"/>
      <c r="DL758" s="13"/>
    </row>
    <row r="759" spans="107:116" ht="12.75" customHeight="1">
      <c r="DC759" s="19"/>
      <c r="DL759" s="13"/>
    </row>
    <row r="760" spans="107:116" ht="12.75" customHeight="1">
      <c r="DC760" s="19"/>
      <c r="DL760" s="13"/>
    </row>
    <row r="761" spans="107:116" ht="12.75" customHeight="1">
      <c r="DC761" s="19"/>
      <c r="DL761" s="13"/>
    </row>
    <row r="762" spans="107:116" ht="12.75" customHeight="1">
      <c r="DC762" s="19"/>
      <c r="DL762" s="13"/>
    </row>
    <row r="763" spans="107:116" ht="12.75" customHeight="1">
      <c r="DC763" s="19"/>
      <c r="DL763" s="13"/>
    </row>
    <row r="764" spans="107:116" ht="12.75" customHeight="1">
      <c r="DC764" s="19"/>
      <c r="DL764" s="13"/>
    </row>
    <row r="765" spans="107:116" ht="12.75" customHeight="1">
      <c r="DC765" s="19"/>
      <c r="DL765" s="13"/>
    </row>
    <row r="766" spans="107:116" ht="12.75" customHeight="1">
      <c r="DC766" s="19"/>
      <c r="DL766" s="13"/>
    </row>
    <row r="767" spans="107:116" ht="12.75" customHeight="1">
      <c r="DC767" s="19"/>
      <c r="DL767" s="13"/>
    </row>
    <row r="768" spans="107:116" ht="12.75" customHeight="1">
      <c r="DC768" s="19"/>
      <c r="DL768" s="13"/>
    </row>
    <row r="769" spans="107:116" ht="12.75" customHeight="1">
      <c r="DC769" s="19"/>
      <c r="DL769" s="13"/>
    </row>
    <row r="770" spans="107:116" ht="12.75" customHeight="1">
      <c r="DC770" s="19"/>
      <c r="DL770" s="13"/>
    </row>
    <row r="771" spans="107:116" ht="12.75" customHeight="1">
      <c r="DC771" s="19"/>
      <c r="DL771" s="13"/>
    </row>
    <row r="772" spans="107:116" ht="12.75" customHeight="1">
      <c r="DC772" s="19"/>
      <c r="DL772" s="13"/>
    </row>
    <row r="773" spans="107:116" ht="12.75" customHeight="1">
      <c r="DC773" s="19"/>
      <c r="DL773" s="13"/>
    </row>
    <row r="774" spans="107:116" ht="12.75" customHeight="1">
      <c r="DC774" s="19"/>
      <c r="DL774" s="13"/>
    </row>
    <row r="775" spans="107:116" ht="12.75" customHeight="1">
      <c r="DC775" s="19"/>
      <c r="DL775" s="13"/>
    </row>
    <row r="776" spans="107:116" ht="12.75" customHeight="1">
      <c r="DC776" s="19"/>
      <c r="DL776" s="13"/>
    </row>
    <row r="777" spans="107:116" ht="12.75" customHeight="1">
      <c r="DC777" s="19"/>
      <c r="DL777" s="13"/>
    </row>
    <row r="778" spans="107:116" ht="12.75" customHeight="1">
      <c r="DC778" s="19"/>
      <c r="DL778" s="13"/>
    </row>
    <row r="779" spans="107:116" ht="12.75" customHeight="1">
      <c r="DC779" s="19"/>
      <c r="DL779" s="13"/>
    </row>
    <row r="780" spans="107:116" ht="12.75" customHeight="1">
      <c r="DC780" s="19"/>
      <c r="DL780" s="13"/>
    </row>
    <row r="781" spans="107:116" ht="12.75" customHeight="1">
      <c r="DC781" s="19"/>
      <c r="DL781" s="13"/>
    </row>
    <row r="782" spans="107:116" ht="12.75" customHeight="1">
      <c r="DC782" s="19"/>
      <c r="DL782" s="13"/>
    </row>
    <row r="783" spans="107:116" ht="12.75" customHeight="1">
      <c r="DC783" s="19"/>
      <c r="DL783" s="13"/>
    </row>
    <row r="784" spans="107:116" ht="12.75" customHeight="1">
      <c r="DC784" s="19"/>
      <c r="DL784" s="13"/>
    </row>
    <row r="785" spans="107:116" ht="12.75" customHeight="1">
      <c r="DC785" s="19"/>
      <c r="DL785" s="13"/>
    </row>
    <row r="786" spans="107:116" ht="12.75" customHeight="1">
      <c r="DC786" s="19"/>
      <c r="DL786" s="13"/>
    </row>
    <row r="787" spans="107:116" ht="12.75" customHeight="1">
      <c r="DC787" s="19"/>
      <c r="DL787" s="13"/>
    </row>
    <row r="788" spans="107:116" ht="12.75" customHeight="1">
      <c r="DC788" s="19"/>
      <c r="DL788" s="13"/>
    </row>
    <row r="789" spans="107:116" ht="12.75" customHeight="1">
      <c r="DC789" s="19"/>
      <c r="DL789" s="13"/>
    </row>
    <row r="790" spans="107:116" ht="12.75" customHeight="1">
      <c r="DC790" s="19"/>
      <c r="DL790" s="13"/>
    </row>
    <row r="791" spans="107:116" ht="12.75" customHeight="1">
      <c r="DC791" s="19"/>
      <c r="DL791" s="13"/>
    </row>
    <row r="792" spans="107:116" ht="12.75" customHeight="1">
      <c r="DC792" s="19"/>
      <c r="DL792" s="13"/>
    </row>
    <row r="793" spans="107:116" ht="12.75" customHeight="1">
      <c r="DC793" s="19"/>
      <c r="DL793" s="13"/>
    </row>
    <row r="794" spans="107:116" ht="12.75" customHeight="1">
      <c r="DC794" s="19"/>
      <c r="DL794" s="13"/>
    </row>
    <row r="795" spans="107:116" ht="12.75" customHeight="1">
      <c r="DC795" s="19"/>
      <c r="DL795" s="13"/>
    </row>
    <row r="796" spans="107:116" ht="12.75" customHeight="1">
      <c r="DC796" s="19"/>
      <c r="DL796" s="13"/>
    </row>
    <row r="797" spans="107:116" ht="12.75" customHeight="1">
      <c r="DC797" s="19"/>
      <c r="DL797" s="13"/>
    </row>
    <row r="798" spans="107:116" ht="12.75" customHeight="1">
      <c r="DC798" s="19"/>
      <c r="DL798" s="13"/>
    </row>
    <row r="799" spans="107:116" ht="12.75" customHeight="1">
      <c r="DC799" s="19"/>
      <c r="DL799" s="13"/>
    </row>
    <row r="800" spans="107:116" ht="12.75" customHeight="1">
      <c r="DC800" s="19"/>
      <c r="DL800" s="13"/>
    </row>
    <row r="801" spans="107:116" ht="12.75" customHeight="1">
      <c r="DC801" s="19"/>
      <c r="DL801" s="13"/>
    </row>
    <row r="802" spans="107:116" ht="12.75" customHeight="1">
      <c r="DC802" s="19"/>
      <c r="DL802" s="13"/>
    </row>
    <row r="803" spans="107:116" ht="12.75" customHeight="1">
      <c r="DC803" s="19"/>
      <c r="DL803" s="13"/>
    </row>
    <row r="804" spans="107:116" ht="12.75" customHeight="1">
      <c r="DC804" s="19"/>
      <c r="DL804" s="13"/>
    </row>
    <row r="805" spans="107:116" ht="12.75" customHeight="1">
      <c r="DC805" s="19"/>
      <c r="DL805" s="13"/>
    </row>
    <row r="806" spans="107:116" ht="12.75" customHeight="1">
      <c r="DC806" s="19"/>
      <c r="DL806" s="13"/>
    </row>
    <row r="807" spans="107:116" ht="12.75" customHeight="1">
      <c r="DC807" s="19"/>
      <c r="DL807" s="13"/>
    </row>
    <row r="808" spans="107:116" ht="12.75" customHeight="1">
      <c r="DC808" s="19"/>
      <c r="DL808" s="13"/>
    </row>
    <row r="809" spans="107:116" ht="12.75" customHeight="1">
      <c r="DC809" s="19"/>
      <c r="DL809" s="13"/>
    </row>
    <row r="810" spans="107:116" ht="12.75" customHeight="1">
      <c r="DC810" s="19"/>
      <c r="DL810" s="13"/>
    </row>
    <row r="811" spans="107:116" ht="12.75" customHeight="1">
      <c r="DC811" s="19"/>
      <c r="DL811" s="13"/>
    </row>
    <row r="812" spans="107:116" ht="12.75" customHeight="1">
      <c r="DC812" s="19"/>
      <c r="DL812" s="13"/>
    </row>
    <row r="813" spans="107:116" ht="12.75" customHeight="1">
      <c r="DC813" s="19"/>
      <c r="DL813" s="13"/>
    </row>
    <row r="814" spans="107:116" ht="12.75" customHeight="1">
      <c r="DC814" s="19"/>
      <c r="DL814" s="13"/>
    </row>
    <row r="815" spans="107:116" ht="12.75" customHeight="1">
      <c r="DC815" s="19"/>
      <c r="DL815" s="13"/>
    </row>
    <row r="816" spans="107:116" ht="12.75" customHeight="1">
      <c r="DC816" s="19"/>
      <c r="DL816" s="13"/>
    </row>
    <row r="817" spans="107:116" ht="12.75" customHeight="1">
      <c r="DC817" s="19"/>
      <c r="DL817" s="13"/>
    </row>
    <row r="818" spans="107:116" ht="12.75" customHeight="1">
      <c r="DC818" s="19"/>
      <c r="DL818" s="13"/>
    </row>
    <row r="819" spans="107:116" ht="12.75" customHeight="1">
      <c r="DC819" s="19"/>
      <c r="DL819" s="13"/>
    </row>
    <row r="820" spans="107:116" ht="12.75" customHeight="1">
      <c r="DC820" s="19"/>
      <c r="DL820" s="13"/>
    </row>
    <row r="821" spans="107:116" ht="12.75" customHeight="1">
      <c r="DC821" s="19"/>
      <c r="DL821" s="13"/>
    </row>
    <row r="822" spans="107:116" ht="12.75" customHeight="1">
      <c r="DC822" s="19"/>
      <c r="DL822" s="13"/>
    </row>
    <row r="823" spans="107:116" ht="12.75" customHeight="1">
      <c r="DC823" s="19"/>
      <c r="DL823" s="13"/>
    </row>
    <row r="824" spans="107:116" ht="12.75" customHeight="1">
      <c r="DC824" s="19"/>
      <c r="DL824" s="13"/>
    </row>
    <row r="825" spans="107:116" ht="12.75" customHeight="1">
      <c r="DC825" s="19"/>
      <c r="DL825" s="13"/>
    </row>
    <row r="826" spans="107:116" ht="12.75" customHeight="1">
      <c r="DC826" s="19"/>
      <c r="DL826" s="13"/>
    </row>
    <row r="827" spans="107:116" ht="12.75" customHeight="1">
      <c r="DC827" s="19"/>
      <c r="DL827" s="13"/>
    </row>
    <row r="828" spans="107:116" ht="12.75" customHeight="1">
      <c r="DC828" s="19"/>
      <c r="DL828" s="13"/>
    </row>
    <row r="829" spans="107:116" ht="12.75" customHeight="1">
      <c r="DC829" s="19"/>
      <c r="DL829" s="13"/>
    </row>
    <row r="830" spans="107:116" ht="12.75" customHeight="1">
      <c r="DC830" s="19"/>
      <c r="DL830" s="13"/>
    </row>
    <row r="831" spans="107:116" ht="12.75" customHeight="1">
      <c r="DC831" s="19"/>
      <c r="DL831" s="13"/>
    </row>
    <row r="832" spans="107:116" ht="12.75" customHeight="1">
      <c r="DC832" s="19"/>
      <c r="DL832" s="13"/>
    </row>
    <row r="833" spans="107:116" ht="12.75" customHeight="1">
      <c r="DC833" s="19"/>
      <c r="DL833" s="13"/>
    </row>
    <row r="834" spans="107:116" ht="12.75" customHeight="1">
      <c r="DC834" s="19"/>
      <c r="DL834" s="13"/>
    </row>
    <row r="835" spans="107:116" ht="12.75" customHeight="1">
      <c r="DC835" s="19"/>
      <c r="DL835" s="13"/>
    </row>
    <row r="836" spans="107:116" ht="12.75" customHeight="1">
      <c r="DC836" s="19"/>
      <c r="DL836" s="13"/>
    </row>
    <row r="837" spans="107:116" ht="12.75" customHeight="1">
      <c r="DC837" s="19"/>
      <c r="DL837" s="13"/>
    </row>
    <row r="838" spans="107:116" ht="12.75" customHeight="1">
      <c r="DC838" s="19"/>
      <c r="DL838" s="13"/>
    </row>
    <row r="839" spans="107:116" ht="12.75" customHeight="1">
      <c r="DC839" s="19"/>
      <c r="DL839" s="13"/>
    </row>
    <row r="840" spans="107:116" ht="12.75" customHeight="1">
      <c r="DC840" s="19"/>
      <c r="DL840" s="13"/>
    </row>
    <row r="841" spans="107:116" ht="12.75" customHeight="1">
      <c r="DC841" s="19"/>
      <c r="DL841" s="13"/>
    </row>
    <row r="842" spans="107:116" ht="12.75" customHeight="1">
      <c r="DC842" s="19"/>
      <c r="DL842" s="13"/>
    </row>
    <row r="843" spans="107:116" ht="12.75" customHeight="1">
      <c r="DC843" s="19"/>
      <c r="DL843" s="13"/>
    </row>
    <row r="844" spans="107:116" ht="12.75" customHeight="1">
      <c r="DC844" s="19"/>
      <c r="DL844" s="13"/>
    </row>
    <row r="845" spans="107:116" ht="12.75" customHeight="1">
      <c r="DC845" s="19"/>
      <c r="DL845" s="13"/>
    </row>
    <row r="846" spans="107:116" ht="12.75" customHeight="1">
      <c r="DC846" s="19"/>
      <c r="DL846" s="13"/>
    </row>
    <row r="847" spans="107:116" ht="12.75" customHeight="1">
      <c r="DC847" s="19"/>
      <c r="DL847" s="13"/>
    </row>
    <row r="848" spans="107:116" ht="12.75" customHeight="1">
      <c r="DC848" s="19"/>
      <c r="DL848" s="13"/>
    </row>
    <row r="849" spans="107:116" ht="12.75" customHeight="1">
      <c r="DC849" s="19"/>
      <c r="DL849" s="13"/>
    </row>
    <row r="850" spans="107:116" ht="12.75" customHeight="1">
      <c r="DC850" s="19"/>
      <c r="DL850" s="13"/>
    </row>
    <row r="851" spans="107:116" ht="12.75" customHeight="1">
      <c r="DC851" s="19"/>
      <c r="DL851" s="13"/>
    </row>
    <row r="852" spans="107:116" ht="12.75" customHeight="1">
      <c r="DC852" s="19"/>
      <c r="DL852" s="13"/>
    </row>
    <row r="853" spans="107:116" ht="12.75" customHeight="1">
      <c r="DC853" s="19"/>
      <c r="DL853" s="13"/>
    </row>
    <row r="854" spans="107:116" ht="12.75" customHeight="1">
      <c r="DC854" s="19"/>
      <c r="DL854" s="13"/>
    </row>
    <row r="855" spans="107:116" ht="12.75" customHeight="1">
      <c r="DC855" s="19"/>
      <c r="DL855" s="13"/>
    </row>
    <row r="856" spans="107:116" ht="12.75" customHeight="1">
      <c r="DC856" s="19"/>
      <c r="DL856" s="13"/>
    </row>
    <row r="857" spans="107:116" ht="12.75" customHeight="1">
      <c r="DC857" s="19"/>
      <c r="DL857" s="13"/>
    </row>
    <row r="858" spans="107:116" ht="12.75" customHeight="1">
      <c r="DC858" s="19"/>
      <c r="DL858" s="13"/>
    </row>
    <row r="859" spans="107:116" ht="12.75" customHeight="1">
      <c r="DC859" s="19"/>
      <c r="DL859" s="13"/>
    </row>
    <row r="860" spans="107:116" ht="12.75" customHeight="1">
      <c r="DC860" s="19"/>
      <c r="DL860" s="13"/>
    </row>
    <row r="861" spans="107:116" ht="12.75" customHeight="1">
      <c r="DC861" s="19"/>
      <c r="DL861" s="13"/>
    </row>
    <row r="862" spans="107:116" ht="12.75" customHeight="1">
      <c r="DC862" s="19"/>
      <c r="DL862" s="13"/>
    </row>
    <row r="863" spans="107:116" ht="12.75" customHeight="1">
      <c r="DC863" s="19"/>
      <c r="DL863" s="13"/>
    </row>
    <row r="864" spans="107:116" ht="12.75" customHeight="1">
      <c r="DC864" s="19"/>
      <c r="DL864" s="13"/>
    </row>
    <row r="865" spans="107:116" ht="12.75" customHeight="1">
      <c r="DC865" s="19"/>
      <c r="DL865" s="13"/>
    </row>
    <row r="866" spans="107:116" ht="12.75" customHeight="1">
      <c r="DC866" s="19"/>
      <c r="DL866" s="13"/>
    </row>
    <row r="867" spans="107:116" ht="12.75" customHeight="1">
      <c r="DC867" s="19"/>
      <c r="DL867" s="13"/>
    </row>
    <row r="868" spans="107:116" ht="12.75" customHeight="1">
      <c r="DC868" s="19"/>
      <c r="DL868" s="13"/>
    </row>
    <row r="869" spans="107:116" ht="12.75" customHeight="1">
      <c r="DC869" s="19"/>
      <c r="DL869" s="13"/>
    </row>
    <row r="870" spans="107:116" ht="12.75" customHeight="1">
      <c r="DC870" s="19"/>
      <c r="DL870" s="13"/>
    </row>
    <row r="871" spans="107:116" ht="12.75" customHeight="1">
      <c r="DC871" s="19"/>
      <c r="DL871" s="13"/>
    </row>
    <row r="872" spans="107:116" ht="12.75" customHeight="1">
      <c r="DC872" s="19"/>
      <c r="DL872" s="13"/>
    </row>
    <row r="873" spans="107:116" ht="12.75" customHeight="1">
      <c r="DC873" s="19"/>
      <c r="DL873" s="13"/>
    </row>
    <row r="874" spans="107:116" ht="12.75" customHeight="1">
      <c r="DC874" s="19"/>
      <c r="DL874" s="13"/>
    </row>
    <row r="875" spans="107:116" ht="12.75" customHeight="1">
      <c r="DC875" s="19"/>
      <c r="DL875" s="13"/>
    </row>
    <row r="876" spans="107:116" ht="12.75" customHeight="1">
      <c r="DC876" s="19"/>
      <c r="DL876" s="13"/>
    </row>
    <row r="877" spans="107:116" ht="12.75" customHeight="1">
      <c r="DC877" s="19"/>
      <c r="DL877" s="13"/>
    </row>
    <row r="878" spans="107:116" ht="12.75" customHeight="1">
      <c r="DC878" s="19"/>
      <c r="DL878" s="13"/>
    </row>
    <row r="879" spans="107:116" ht="12.75" customHeight="1">
      <c r="DC879" s="19"/>
      <c r="DL879" s="13"/>
    </row>
    <row r="880" spans="107:116" ht="12.75" customHeight="1">
      <c r="DC880" s="19"/>
      <c r="DL880" s="13"/>
    </row>
    <row r="881" spans="107:116" ht="12.75" customHeight="1">
      <c r="DC881" s="19"/>
      <c r="DL881" s="13"/>
    </row>
    <row r="882" spans="107:116" ht="12.75" customHeight="1">
      <c r="DC882" s="19"/>
      <c r="DL882" s="13"/>
    </row>
    <row r="883" spans="107:116" ht="12.75" customHeight="1">
      <c r="DC883" s="19"/>
      <c r="DL883" s="13"/>
    </row>
    <row r="884" spans="107:116" ht="12.75" customHeight="1">
      <c r="DC884" s="19"/>
      <c r="DL884" s="13"/>
    </row>
    <row r="885" spans="107:116" ht="12.75" customHeight="1">
      <c r="DC885" s="19"/>
      <c r="DL885" s="13"/>
    </row>
    <row r="886" spans="107:116" ht="12.75" customHeight="1">
      <c r="DC886" s="19"/>
      <c r="DL886" s="13"/>
    </row>
    <row r="887" spans="107:116" ht="12.75" customHeight="1">
      <c r="DC887" s="19"/>
      <c r="DL887" s="13"/>
    </row>
    <row r="888" spans="107:116" ht="12.75" customHeight="1">
      <c r="DC888" s="19"/>
      <c r="DL888" s="13"/>
    </row>
    <row r="889" spans="107:116" ht="12.75" customHeight="1">
      <c r="DC889" s="19"/>
      <c r="DL889" s="13"/>
    </row>
    <row r="890" spans="107:116" ht="12.75" customHeight="1">
      <c r="DC890" s="19"/>
      <c r="DL890" s="13"/>
    </row>
    <row r="891" spans="107:116" ht="12.75" customHeight="1">
      <c r="DC891" s="19"/>
      <c r="DL891" s="13"/>
    </row>
    <row r="892" spans="107:116" ht="12.75" customHeight="1">
      <c r="DC892" s="19"/>
      <c r="DL892" s="13"/>
    </row>
    <row r="893" spans="107:116" ht="12.75" customHeight="1">
      <c r="DC893" s="19"/>
      <c r="DL893" s="13"/>
    </row>
    <row r="894" spans="107:116" ht="12.75" customHeight="1">
      <c r="DC894" s="19"/>
      <c r="DL894" s="13"/>
    </row>
    <row r="895" spans="107:116" ht="12.75" customHeight="1">
      <c r="DC895" s="19"/>
      <c r="DL895" s="13"/>
    </row>
    <row r="896" spans="107:116" ht="12.75" customHeight="1">
      <c r="DC896" s="19"/>
      <c r="DL896" s="13"/>
    </row>
    <row r="897" spans="107:116" ht="12.75" customHeight="1">
      <c r="DC897" s="19"/>
      <c r="DL897" s="13"/>
    </row>
    <row r="898" spans="107:116" ht="12.75" customHeight="1">
      <c r="DC898" s="19"/>
      <c r="DL898" s="13"/>
    </row>
    <row r="899" spans="107:116" ht="12.75" customHeight="1">
      <c r="DC899" s="19"/>
      <c r="DL899" s="13"/>
    </row>
    <row r="900" spans="107:116" ht="12.75" customHeight="1">
      <c r="DC900" s="19"/>
      <c r="DL900" s="13"/>
    </row>
    <row r="901" spans="107:116" ht="12.75" customHeight="1">
      <c r="DC901" s="19"/>
      <c r="DL901" s="13"/>
    </row>
    <row r="902" spans="107:116" ht="12.75" customHeight="1">
      <c r="DC902" s="19"/>
      <c r="DL902" s="13"/>
    </row>
    <row r="903" spans="107:116" ht="12.75" customHeight="1">
      <c r="DC903" s="19"/>
      <c r="DL903" s="13"/>
    </row>
    <row r="904" spans="107:116" ht="12.75" customHeight="1">
      <c r="DC904" s="19"/>
      <c r="DL904" s="13"/>
    </row>
    <row r="905" spans="107:116" ht="12.75" customHeight="1">
      <c r="DC905" s="19"/>
      <c r="DL905" s="13"/>
    </row>
    <row r="906" spans="107:116" ht="12.75" customHeight="1">
      <c r="DC906" s="19"/>
      <c r="DL906" s="13"/>
    </row>
    <row r="907" spans="107:116" ht="12.75" customHeight="1">
      <c r="DC907" s="19"/>
      <c r="DL907" s="13"/>
    </row>
    <row r="908" spans="107:116" ht="12.75" customHeight="1">
      <c r="DC908" s="19"/>
      <c r="DL908" s="13"/>
    </row>
    <row r="909" spans="107:116" ht="12.75" customHeight="1">
      <c r="DC909" s="19"/>
      <c r="DL909" s="13"/>
    </row>
    <row r="910" spans="107:116" ht="12.75" customHeight="1">
      <c r="DC910" s="19"/>
      <c r="DL910" s="13"/>
    </row>
    <row r="911" spans="107:116" ht="12.75" customHeight="1">
      <c r="DC911" s="19"/>
      <c r="DL911" s="13"/>
    </row>
    <row r="912" spans="107:116" ht="12.75" customHeight="1">
      <c r="DC912" s="19"/>
      <c r="DL912" s="13"/>
    </row>
    <row r="913" spans="107:116" ht="12.75" customHeight="1">
      <c r="DC913" s="19"/>
      <c r="DL913" s="13"/>
    </row>
    <row r="914" spans="107:116" ht="12.75" customHeight="1">
      <c r="DC914" s="19"/>
      <c r="DL914" s="13"/>
    </row>
    <row r="915" spans="107:116" ht="12.75" customHeight="1">
      <c r="DC915" s="19"/>
      <c r="DL915" s="13"/>
    </row>
    <row r="916" spans="107:116" ht="12.75" customHeight="1">
      <c r="DC916" s="19"/>
      <c r="DL916" s="13"/>
    </row>
    <row r="917" spans="107:116" ht="12.75" customHeight="1">
      <c r="DC917" s="19"/>
      <c r="DL917" s="13"/>
    </row>
    <row r="918" spans="107:116" ht="12.75" customHeight="1">
      <c r="DC918" s="19"/>
      <c r="DL918" s="13"/>
    </row>
    <row r="919" spans="107:116" ht="12.75" customHeight="1">
      <c r="DC919" s="19"/>
      <c r="DL919" s="13"/>
    </row>
    <row r="920" spans="107:116" ht="12.75" customHeight="1">
      <c r="DC920" s="19"/>
      <c r="DL920" s="13"/>
    </row>
    <row r="921" spans="107:116" ht="12.75" customHeight="1">
      <c r="DC921" s="19"/>
      <c r="DL921" s="13"/>
    </row>
    <row r="922" spans="107:116" ht="12.75" customHeight="1">
      <c r="DC922" s="19"/>
      <c r="DL922" s="13"/>
    </row>
    <row r="923" spans="107:116" ht="12.75" customHeight="1">
      <c r="DC923" s="19"/>
      <c r="DL923" s="13"/>
    </row>
    <row r="924" spans="107:116" ht="12.75" customHeight="1">
      <c r="DC924" s="19"/>
      <c r="DL924" s="13"/>
    </row>
    <row r="925" spans="107:116" ht="12.75" customHeight="1">
      <c r="DC925" s="19"/>
      <c r="DL925" s="13"/>
    </row>
    <row r="926" spans="107:116" ht="12.75" customHeight="1">
      <c r="DC926" s="19"/>
      <c r="DL926" s="13"/>
    </row>
    <row r="927" spans="107:116" ht="12.75" customHeight="1">
      <c r="DC927" s="19"/>
      <c r="DL927" s="13"/>
    </row>
    <row r="928" spans="107:116" ht="12.75" customHeight="1">
      <c r="DC928" s="19"/>
      <c r="DL928" s="13"/>
    </row>
    <row r="929" spans="107:116" ht="12.75" customHeight="1">
      <c r="DC929" s="19"/>
      <c r="DL929" s="13"/>
    </row>
    <row r="930" spans="107:116" ht="12.75" customHeight="1">
      <c r="DC930" s="19"/>
      <c r="DL930" s="13"/>
    </row>
    <row r="931" spans="107:116" ht="12.75" customHeight="1">
      <c r="DC931" s="19"/>
      <c r="DL931" s="13"/>
    </row>
    <row r="932" spans="107:116" ht="12.75" customHeight="1">
      <c r="DC932" s="19"/>
      <c r="DL932" s="13"/>
    </row>
    <row r="933" spans="107:116" ht="12.75" customHeight="1">
      <c r="DC933" s="19"/>
      <c r="DL933" s="13"/>
    </row>
    <row r="934" spans="107:116" ht="12.75" customHeight="1">
      <c r="DC934" s="19"/>
      <c r="DL934" s="13"/>
    </row>
    <row r="935" spans="107:116" ht="12.75" customHeight="1">
      <c r="DC935" s="19"/>
      <c r="DL935" s="13"/>
    </row>
    <row r="936" spans="107:116" ht="12.75" customHeight="1">
      <c r="DC936" s="19"/>
      <c r="DL936" s="13"/>
    </row>
    <row r="937" spans="107:116" ht="12.75" customHeight="1">
      <c r="DC937" s="19"/>
      <c r="DL937" s="13"/>
    </row>
    <row r="938" spans="107:116" ht="12.75" customHeight="1">
      <c r="DC938" s="19"/>
      <c r="DL938" s="13"/>
    </row>
    <row r="939" spans="107:116" ht="12.75" customHeight="1">
      <c r="DC939" s="19"/>
      <c r="DL939" s="13"/>
    </row>
    <row r="940" spans="107:116" ht="12.75" customHeight="1">
      <c r="DC940" s="19"/>
      <c r="DL940" s="13"/>
    </row>
    <row r="941" spans="107:116" ht="12.75" customHeight="1">
      <c r="DC941" s="19"/>
      <c r="DL941" s="13"/>
    </row>
    <row r="942" spans="107:116" ht="12.75" customHeight="1">
      <c r="DC942" s="19"/>
      <c r="DL942" s="13"/>
    </row>
    <row r="943" spans="107:116" ht="12.75" customHeight="1">
      <c r="DC943" s="19"/>
      <c r="DL943" s="13"/>
    </row>
    <row r="944" spans="107:116" ht="12.75" customHeight="1">
      <c r="DC944" s="19"/>
      <c r="DL944" s="13"/>
    </row>
    <row r="945" spans="107:116" ht="12.75" customHeight="1">
      <c r="DC945" s="19"/>
      <c r="DL945" s="13"/>
    </row>
    <row r="946" spans="107:116" ht="12.75" customHeight="1">
      <c r="DC946" s="19"/>
      <c r="DL946" s="13"/>
    </row>
    <row r="947" spans="107:116" ht="12.75" customHeight="1">
      <c r="DC947" s="19"/>
      <c r="DL947" s="13"/>
    </row>
    <row r="948" spans="107:116" ht="12.75" customHeight="1">
      <c r="DC948" s="19"/>
      <c r="DL948" s="13"/>
    </row>
    <row r="949" spans="107:116" ht="12.75" customHeight="1">
      <c r="DC949" s="19"/>
      <c r="DL949" s="13"/>
    </row>
    <row r="950" spans="107:116" ht="12.75" customHeight="1">
      <c r="DC950" s="19"/>
      <c r="DL950" s="13"/>
    </row>
    <row r="951" spans="107:116" ht="12.75" customHeight="1">
      <c r="DC951" s="19"/>
      <c r="DL951" s="13"/>
    </row>
    <row r="952" spans="107:116" ht="12.75" customHeight="1">
      <c r="DC952" s="19"/>
      <c r="DL952" s="13"/>
    </row>
    <row r="953" spans="107:116" ht="12.75" customHeight="1">
      <c r="DC953" s="19"/>
      <c r="DL953" s="13"/>
    </row>
    <row r="954" spans="107:116" ht="12.75" customHeight="1">
      <c r="DC954" s="19"/>
      <c r="DL954" s="13"/>
    </row>
    <row r="955" spans="107:116" ht="12.75" customHeight="1">
      <c r="DC955" s="19"/>
      <c r="DL955" s="13"/>
    </row>
    <row r="956" spans="107:116" ht="12.75" customHeight="1">
      <c r="DC956" s="19"/>
      <c r="DL956" s="13"/>
    </row>
    <row r="957" spans="107:116" ht="12.75" customHeight="1">
      <c r="DC957" s="19"/>
      <c r="DL957" s="13"/>
    </row>
    <row r="958" spans="107:116" ht="12.75" customHeight="1">
      <c r="DC958" s="19"/>
      <c r="DL958" s="13"/>
    </row>
    <row r="959" spans="107:116" ht="12.75" customHeight="1">
      <c r="DC959" s="19"/>
      <c r="DL959" s="13"/>
    </row>
    <row r="960" spans="107:116" ht="12.75" customHeight="1">
      <c r="DC960" s="19"/>
      <c r="DL960" s="13"/>
    </row>
    <row r="961" spans="107:116" ht="12.75" customHeight="1">
      <c r="DC961" s="19"/>
      <c r="DL961" s="13"/>
    </row>
    <row r="962" spans="107:116" ht="12.75" customHeight="1">
      <c r="DC962" s="19"/>
      <c r="DL962" s="13"/>
    </row>
    <row r="963" spans="107:116" ht="12.75" customHeight="1">
      <c r="DC963" s="19"/>
      <c r="DL963" s="13"/>
    </row>
    <row r="964" spans="107:116" ht="12.75" customHeight="1">
      <c r="DC964" s="19"/>
      <c r="DL964" s="13"/>
    </row>
    <row r="965" spans="107:116" ht="12.75" customHeight="1">
      <c r="DC965" s="19"/>
      <c r="DL965" s="13"/>
    </row>
    <row r="966" spans="107:116" ht="12.75" customHeight="1">
      <c r="DC966" s="19"/>
      <c r="DL966" s="13"/>
    </row>
    <row r="967" spans="107:116" ht="12.75" customHeight="1">
      <c r="DC967" s="19"/>
      <c r="DL967" s="13"/>
    </row>
    <row r="968" spans="107:116" ht="12.75" customHeight="1">
      <c r="DC968" s="19"/>
      <c r="DL968" s="13"/>
    </row>
    <row r="969" spans="107:116" ht="12.75" customHeight="1">
      <c r="DC969" s="19"/>
      <c r="DL969" s="13"/>
    </row>
    <row r="970" spans="107:116" ht="12.75" customHeight="1">
      <c r="DC970" s="19"/>
      <c r="DL970" s="13"/>
    </row>
    <row r="971" spans="107:116" ht="12.75" customHeight="1">
      <c r="DC971" s="19"/>
      <c r="DL971" s="13"/>
    </row>
    <row r="972" spans="107:116" ht="12.75" customHeight="1">
      <c r="DC972" s="19"/>
      <c r="DL972" s="13"/>
    </row>
    <row r="973" spans="107:116" ht="12.75" customHeight="1">
      <c r="DC973" s="19"/>
      <c r="DL973" s="13"/>
    </row>
    <row r="974" spans="107:116" ht="12.75" customHeight="1">
      <c r="DC974" s="19"/>
      <c r="DL974" s="13"/>
    </row>
    <row r="975" spans="107:116" ht="12.75" customHeight="1">
      <c r="DC975" s="19"/>
      <c r="DL975" s="13"/>
    </row>
    <row r="976" spans="107:116" ht="12.75" customHeight="1">
      <c r="DC976" s="19"/>
      <c r="DL976" s="13"/>
    </row>
    <row r="977" spans="107:116" ht="12.75" customHeight="1">
      <c r="DC977" s="19"/>
      <c r="DL977" s="13"/>
    </row>
    <row r="978" spans="107:116" ht="12.75" customHeight="1">
      <c r="DC978" s="19"/>
      <c r="DL978" s="13"/>
    </row>
    <row r="979" spans="107:116" ht="12.75" customHeight="1">
      <c r="DC979" s="19"/>
      <c r="DL979" s="13"/>
    </row>
    <row r="980" spans="107:116" ht="12.75" customHeight="1">
      <c r="DC980" s="19"/>
      <c r="DL980" s="13"/>
    </row>
    <row r="981" spans="107:116" ht="12.75" customHeight="1">
      <c r="DC981" s="19"/>
      <c r="DL981" s="13"/>
    </row>
    <row r="982" spans="107:116" ht="12.75" customHeight="1">
      <c r="DC982" s="19"/>
      <c r="DL982" s="13"/>
    </row>
    <row r="983" spans="107:116" ht="12.75" customHeight="1">
      <c r="DC983" s="19"/>
      <c r="DL983" s="13"/>
    </row>
    <row r="984" spans="107:116" ht="12.75" customHeight="1">
      <c r="DC984" s="19"/>
      <c r="DL984" s="13"/>
    </row>
    <row r="985" spans="107:116" ht="12.75" customHeight="1">
      <c r="DC985" s="19"/>
      <c r="DL985" s="13"/>
    </row>
    <row r="986" spans="107:116" ht="12.75" customHeight="1">
      <c r="DC986" s="19"/>
      <c r="DL986" s="13"/>
    </row>
    <row r="987" spans="107:116" ht="12.75" customHeight="1">
      <c r="DC987" s="19"/>
      <c r="DL987" s="13"/>
    </row>
    <row r="988" spans="107:116" ht="12.75" customHeight="1">
      <c r="DC988" s="19"/>
      <c r="DL988" s="13"/>
    </row>
    <row r="989" spans="107:116" ht="12.75" customHeight="1">
      <c r="DC989" s="19"/>
      <c r="DL989" s="13"/>
    </row>
    <row r="990" spans="107:116" ht="12.75" customHeight="1">
      <c r="DC990" s="19"/>
      <c r="DL990" s="13"/>
    </row>
    <row r="991" spans="107:116" ht="12.75" customHeight="1">
      <c r="DC991" s="19"/>
      <c r="DL991" s="13"/>
    </row>
    <row r="992" spans="107:116" ht="12.75" customHeight="1">
      <c r="DC992" s="19"/>
      <c r="DL992" s="13"/>
    </row>
    <row r="993" spans="107:116" ht="12.75" customHeight="1">
      <c r="DC993" s="19"/>
      <c r="DL993" s="13"/>
    </row>
    <row r="994" spans="107:116" ht="12.75" customHeight="1">
      <c r="DC994" s="19"/>
      <c r="DL994" s="13"/>
    </row>
    <row r="995" spans="107:116" ht="12.75" customHeight="1">
      <c r="DC995" s="19"/>
      <c r="DL995" s="13"/>
    </row>
    <row r="996" spans="107:116" ht="12.75" customHeight="1">
      <c r="DC996" s="19"/>
      <c r="DL996" s="13"/>
    </row>
    <row r="997" spans="107:116" ht="12.75" customHeight="1">
      <c r="DC997" s="19"/>
      <c r="DL997" s="13"/>
    </row>
    <row r="998" spans="107:116" ht="12.75" customHeight="1">
      <c r="DC998" s="19"/>
      <c r="DL998" s="13"/>
    </row>
    <row r="999" spans="107:116" ht="12.75" customHeight="1">
      <c r="DC999" s="19"/>
      <c r="DL999" s="13"/>
    </row>
    <row r="1000" spans="107:116" ht="12.75" customHeight="1">
      <c r="DC1000" s="19"/>
      <c r="DL1000" s="13"/>
    </row>
    <row r="1001" spans="107:116" ht="12.75" customHeight="1">
      <c r="DC1001" s="19"/>
      <c r="DL1001" s="13"/>
    </row>
    <row r="1002" spans="107:116" ht="12.75" customHeight="1">
      <c r="DC1002" s="19"/>
      <c r="DL1002" s="13"/>
    </row>
    <row r="1003" spans="107:116" ht="12.75" customHeight="1">
      <c r="DC1003" s="19"/>
      <c r="DL1003" s="13"/>
    </row>
    <row r="1004" spans="107:116" ht="12.75" customHeight="1">
      <c r="DC1004" s="19"/>
      <c r="DL1004" s="13"/>
    </row>
    <row r="1005" spans="107:116" ht="12.75" customHeight="1">
      <c r="DC1005" s="19"/>
      <c r="DL1005" s="13"/>
    </row>
    <row r="1006" spans="107:116" ht="12.75" customHeight="1">
      <c r="DC1006" s="19"/>
      <c r="DL1006" s="13"/>
    </row>
    <row r="1007" spans="107:116" ht="12.75" customHeight="1">
      <c r="DC1007" s="19"/>
      <c r="DL1007" s="13"/>
    </row>
    <row r="1008" spans="107:116" ht="12.75" customHeight="1">
      <c r="DC1008" s="19"/>
      <c r="DL1008" s="13"/>
    </row>
    <row r="1009" spans="107:116" ht="12.75" customHeight="1">
      <c r="DC1009" s="19"/>
      <c r="DL1009" s="13"/>
    </row>
    <row r="1010" spans="107:116" ht="12.75" customHeight="1">
      <c r="DC1010" s="19"/>
      <c r="DL1010" s="13"/>
    </row>
    <row r="1011" spans="107:116" ht="12.75" customHeight="1">
      <c r="DC1011" s="19"/>
      <c r="DL1011" s="13"/>
    </row>
    <row r="1012" spans="107:116" ht="12.75" customHeight="1">
      <c r="DC1012" s="19"/>
      <c r="DL1012" s="13"/>
    </row>
    <row r="1013" spans="107:116" ht="12.75" customHeight="1">
      <c r="DC1013" s="19"/>
      <c r="DL1013" s="13"/>
    </row>
    <row r="1014" spans="107:116" ht="12.75" customHeight="1">
      <c r="DC1014" s="19"/>
      <c r="DL1014" s="13"/>
    </row>
    <row r="1015" spans="107:116" ht="12.75" customHeight="1">
      <c r="DC1015" s="19"/>
      <c r="DL1015" s="13"/>
    </row>
    <row r="1016" spans="107:116" ht="12.75" customHeight="1">
      <c r="DC1016" s="19"/>
      <c r="DL1016" s="13"/>
    </row>
    <row r="1017" spans="107:116" ht="12.75" customHeight="1">
      <c r="DC1017" s="19"/>
      <c r="DL1017" s="13"/>
    </row>
    <row r="1018" spans="107:116" ht="12.75" customHeight="1">
      <c r="DC1018" s="19"/>
      <c r="DL1018" s="13"/>
    </row>
    <row r="1019" spans="107:116" ht="12.75" customHeight="1">
      <c r="DC1019" s="19"/>
      <c r="DL1019" s="13"/>
    </row>
    <row r="1020" spans="107:116" ht="12.75" customHeight="1">
      <c r="DC1020" s="19"/>
      <c r="DL1020" s="13"/>
    </row>
    <row r="1021" spans="107:116" ht="12.75" customHeight="1">
      <c r="DC1021" s="19"/>
      <c r="DL1021" s="13"/>
    </row>
    <row r="1022" spans="107:116" ht="12.75" customHeight="1">
      <c r="DC1022" s="19"/>
      <c r="DL1022" s="13"/>
    </row>
    <row r="1023" spans="107:116" ht="12.75" customHeight="1">
      <c r="DC1023" s="19"/>
      <c r="DL1023" s="13"/>
    </row>
    <row r="1024" spans="107:116" ht="12.75" customHeight="1">
      <c r="DC1024" s="19"/>
      <c r="DL1024" s="13"/>
    </row>
    <row r="1025" spans="107:116" ht="12.75" customHeight="1">
      <c r="DC1025" s="19"/>
      <c r="DL1025" s="13"/>
    </row>
    <row r="1026" spans="107:116" ht="12.75" customHeight="1">
      <c r="DC1026" s="19"/>
      <c r="DL1026" s="13"/>
    </row>
    <row r="1027" spans="107:116" ht="12.75" customHeight="1">
      <c r="DC1027" s="19"/>
      <c r="DL1027" s="13"/>
    </row>
    <row r="1028" spans="107:116" ht="12.75" customHeight="1">
      <c r="DC1028" s="19"/>
      <c r="DL1028" s="13"/>
    </row>
    <row r="1029" spans="107:116" ht="12.75" customHeight="1">
      <c r="DC1029" s="19"/>
      <c r="DL1029" s="13"/>
    </row>
    <row r="1030" spans="107:116" ht="12.75" customHeight="1">
      <c r="DC1030" s="19"/>
      <c r="DL1030" s="13"/>
    </row>
    <row r="1031" spans="107:116" ht="12.75" customHeight="1">
      <c r="DC1031" s="19"/>
      <c r="DL1031" s="13"/>
    </row>
    <row r="1032" spans="107:116" ht="12.75" customHeight="1">
      <c r="DC1032" s="19"/>
      <c r="DL1032" s="13"/>
    </row>
    <row r="1033" spans="107:116" ht="12.75" customHeight="1">
      <c r="DC1033" s="19"/>
      <c r="DL1033" s="13"/>
    </row>
    <row r="1034" spans="107:116" ht="12.75" customHeight="1">
      <c r="DC1034" s="19"/>
      <c r="DL1034" s="13"/>
    </row>
    <row r="1035" spans="107:116" ht="12.75" customHeight="1">
      <c r="DC1035" s="19"/>
      <c r="DL1035" s="13"/>
    </row>
    <row r="1036" spans="107:116" ht="12.75" customHeight="1">
      <c r="DC1036" s="19"/>
      <c r="DL1036" s="13"/>
    </row>
    <row r="1037" spans="107:116" ht="12.75" customHeight="1">
      <c r="DC1037" s="19"/>
      <c r="DL1037" s="13"/>
    </row>
    <row r="1038" spans="107:116" ht="12.75" customHeight="1">
      <c r="DC1038" s="19"/>
      <c r="DL1038" s="13"/>
    </row>
    <row r="1039" spans="107:116" ht="12.75" customHeight="1">
      <c r="DC1039" s="19"/>
      <c r="DL1039" s="13"/>
    </row>
    <row r="1040" spans="107:116" ht="12.75" customHeight="1">
      <c r="DC1040" s="19"/>
      <c r="DL1040" s="13"/>
    </row>
    <row r="1041" spans="107:116" ht="12.75" customHeight="1">
      <c r="DC1041" s="19"/>
      <c r="DL1041" s="13"/>
    </row>
    <row r="1042" spans="107:116" ht="12.75" customHeight="1">
      <c r="DC1042" s="19"/>
      <c r="DL1042" s="13"/>
    </row>
    <row r="1043" spans="107:116" ht="12.75" customHeight="1">
      <c r="DC1043" s="19"/>
      <c r="DL1043" s="13"/>
    </row>
    <row r="1044" spans="107:116" ht="12.75" customHeight="1">
      <c r="DC1044" s="19"/>
      <c r="DL1044" s="13"/>
    </row>
    <row r="1045" spans="107:116" ht="12.75" customHeight="1">
      <c r="DC1045" s="19"/>
      <c r="DL1045" s="13"/>
    </row>
    <row r="1046" spans="107:116" ht="12.75" customHeight="1">
      <c r="DC1046" s="19"/>
      <c r="DL1046" s="13"/>
    </row>
    <row r="1047" spans="107:116" ht="12.75" customHeight="1">
      <c r="DC1047" s="19"/>
      <c r="DL1047" s="13"/>
    </row>
    <row r="1048" spans="107:116" ht="12.75" customHeight="1">
      <c r="DC1048" s="19"/>
      <c r="DL1048" s="13"/>
    </row>
    <row r="1049" spans="107:116" ht="12.75" customHeight="1">
      <c r="DC1049" s="19"/>
      <c r="DL1049" s="13"/>
    </row>
    <row r="1050" spans="107:116" ht="12.75" customHeight="1">
      <c r="DC1050" s="19"/>
      <c r="DL1050" s="13"/>
    </row>
    <row r="1051" spans="107:116" ht="12.75" customHeight="1">
      <c r="DC1051" s="19"/>
      <c r="DL1051" s="13"/>
    </row>
    <row r="1052" spans="107:116" ht="12.75" customHeight="1">
      <c r="DC1052" s="19"/>
      <c r="DL1052" s="13"/>
    </row>
    <row r="1053" spans="107:116" ht="12.75" customHeight="1">
      <c r="DC1053" s="19"/>
      <c r="DL1053" s="13"/>
    </row>
    <row r="1054" spans="107:116" ht="12.75" customHeight="1">
      <c r="DC1054" s="19"/>
      <c r="DL1054" s="13"/>
    </row>
    <row r="1055" spans="107:116" ht="12.75" customHeight="1">
      <c r="DC1055" s="19"/>
      <c r="DL1055" s="13"/>
    </row>
    <row r="1056" spans="107:116" ht="12.75" customHeight="1">
      <c r="DC1056" s="19"/>
      <c r="DL1056" s="13"/>
    </row>
    <row r="1057" spans="107:116" ht="12.75" customHeight="1">
      <c r="DC1057" s="19"/>
      <c r="DL1057" s="13"/>
    </row>
    <row r="1058" spans="107:116" ht="12.75" customHeight="1">
      <c r="DC1058" s="19"/>
      <c r="DL1058" s="13"/>
    </row>
    <row r="1059" spans="107:116" ht="12.75" customHeight="1">
      <c r="DC1059" s="19"/>
      <c r="DL1059" s="13"/>
    </row>
    <row r="1060" spans="107:116" ht="12.75" customHeight="1">
      <c r="DC1060" s="19"/>
      <c r="DL1060" s="13"/>
    </row>
    <row r="1061" spans="107:116" ht="12.75" customHeight="1">
      <c r="DC1061" s="19"/>
      <c r="DL1061" s="13"/>
    </row>
    <row r="1062" spans="107:116" ht="12.75" customHeight="1">
      <c r="DC1062" s="19"/>
      <c r="DL1062" s="13"/>
    </row>
    <row r="1063" spans="107:116" ht="12.75" customHeight="1">
      <c r="DC1063" s="19"/>
      <c r="DL1063" s="13"/>
    </row>
    <row r="1064" spans="107:116" ht="12.75" customHeight="1">
      <c r="DC1064" s="19"/>
      <c r="DL1064" s="13"/>
    </row>
    <row r="1065" spans="107:116" ht="12.75" customHeight="1">
      <c r="DC1065" s="19"/>
      <c r="DL1065" s="13"/>
    </row>
    <row r="1066" spans="107:116" ht="12.75" customHeight="1">
      <c r="DC1066" s="19"/>
      <c r="DL1066" s="13"/>
    </row>
    <row r="1067" spans="107:116" ht="12.75" customHeight="1">
      <c r="DC1067" s="19"/>
      <c r="DL1067" s="13"/>
    </row>
    <row r="1068" spans="107:116" ht="12.75" customHeight="1">
      <c r="DC1068" s="19"/>
      <c r="DL1068" s="13"/>
    </row>
    <row r="1069" spans="107:116" ht="12.75" customHeight="1">
      <c r="DC1069" s="19"/>
      <c r="DL1069" s="13"/>
    </row>
    <row r="1070" spans="107:116" ht="12.75" customHeight="1">
      <c r="DC1070" s="19"/>
      <c r="DL1070" s="13"/>
    </row>
    <row r="1071" spans="107:116" ht="12.75" customHeight="1">
      <c r="DC1071" s="19"/>
      <c r="DL1071" s="13"/>
    </row>
    <row r="1072" spans="107:116" ht="12.75" customHeight="1">
      <c r="DC1072" s="19"/>
      <c r="DL1072" s="13"/>
    </row>
    <row r="1073" spans="107:116" ht="12.75" customHeight="1">
      <c r="DC1073" s="19"/>
      <c r="DL1073" s="13"/>
    </row>
    <row r="1074" spans="107:116" ht="12.75" customHeight="1">
      <c r="DC1074" s="19"/>
      <c r="DL1074" s="13"/>
    </row>
    <row r="1075" spans="107:116" ht="12.75" customHeight="1">
      <c r="DC1075" s="19"/>
      <c r="DL1075" s="13"/>
    </row>
    <row r="1076" spans="107:116" ht="12.75" customHeight="1">
      <c r="DC1076" s="19"/>
      <c r="DL1076" s="13"/>
    </row>
    <row r="1077" spans="107:116" ht="12.75" customHeight="1">
      <c r="DC1077" s="19"/>
      <c r="DL1077" s="13"/>
    </row>
    <row r="1078" spans="107:116" ht="12.75" customHeight="1">
      <c r="DC1078" s="19"/>
      <c r="DL1078" s="13"/>
    </row>
    <row r="1079" spans="107:116" ht="12.75" customHeight="1">
      <c r="DC1079" s="19"/>
      <c r="DL1079" s="13"/>
    </row>
    <row r="1080" spans="107:116" ht="12.75" customHeight="1">
      <c r="DC1080" s="19"/>
      <c r="DL1080" s="13"/>
    </row>
    <row r="1081" spans="107:116" ht="12.75" customHeight="1">
      <c r="DC1081" s="19"/>
      <c r="DL1081" s="13"/>
    </row>
    <row r="1082" spans="107:116" ht="12.75" customHeight="1">
      <c r="DC1082" s="19"/>
      <c r="DL1082" s="13"/>
    </row>
    <row r="1083" spans="107:116" ht="12.75" customHeight="1">
      <c r="DC1083" s="19"/>
      <c r="DL1083" s="13"/>
    </row>
    <row r="1084" spans="107:116" ht="12.75" customHeight="1">
      <c r="DC1084" s="19"/>
      <c r="DL1084" s="13"/>
    </row>
    <row r="1085" spans="107:116" ht="12.75" customHeight="1">
      <c r="DC1085" s="19"/>
      <c r="DL1085" s="13"/>
    </row>
    <row r="1086" spans="107:116" ht="12.75" customHeight="1">
      <c r="DC1086" s="19"/>
      <c r="DL1086" s="13"/>
    </row>
    <row r="1087" spans="107:116" ht="12.75" customHeight="1">
      <c r="DC1087" s="19"/>
      <c r="DL1087" s="13"/>
    </row>
    <row r="1088" spans="107:116" ht="12.75" customHeight="1">
      <c r="DC1088" s="19"/>
      <c r="DL1088" s="13"/>
    </row>
    <row r="1089" spans="107:116" ht="12.75" customHeight="1">
      <c r="DC1089" s="19"/>
      <c r="DL1089" s="13"/>
    </row>
    <row r="1090" spans="107:116" ht="12.75" customHeight="1">
      <c r="DC1090" s="19"/>
      <c r="DL1090" s="13"/>
    </row>
    <row r="1091" spans="107:116" ht="12.75" customHeight="1">
      <c r="DC1091" s="19"/>
      <c r="DL1091" s="13"/>
    </row>
    <row r="1092" spans="107:116" ht="12.75" customHeight="1">
      <c r="DC1092" s="19"/>
      <c r="DL1092" s="13"/>
    </row>
    <row r="1093" spans="107:116" ht="12.75" customHeight="1">
      <c r="DC1093" s="19"/>
      <c r="DL1093" s="13"/>
    </row>
    <row r="1094" spans="107:116" ht="12.75" customHeight="1">
      <c r="DC1094" s="19"/>
      <c r="DL1094" s="13"/>
    </row>
    <row r="1095" spans="107:116" ht="12.75" customHeight="1">
      <c r="DC1095" s="19"/>
      <c r="DL1095" s="13"/>
    </row>
    <row r="1096" spans="107:116" ht="12.75" customHeight="1">
      <c r="DC1096" s="19"/>
      <c r="DL1096" s="13"/>
    </row>
    <row r="1097" spans="107:116" ht="12.75" customHeight="1">
      <c r="DC1097" s="19"/>
      <c r="DL1097" s="13"/>
    </row>
    <row r="1098" spans="107:116" ht="12.75" customHeight="1">
      <c r="DC1098" s="19"/>
      <c r="DL1098" s="13"/>
    </row>
    <row r="1099" spans="107:116" ht="12.75" customHeight="1">
      <c r="DC1099" s="19"/>
      <c r="DL1099" s="13"/>
    </row>
    <row r="1100" spans="107:116" ht="12.75" customHeight="1">
      <c r="DC1100" s="19"/>
      <c r="DL1100" s="13"/>
    </row>
    <row r="1101" spans="107:116" ht="12.75" customHeight="1">
      <c r="DC1101" s="19"/>
      <c r="DL1101" s="13"/>
    </row>
    <row r="1102" spans="107:116" ht="12.75" customHeight="1">
      <c r="DC1102" s="19"/>
      <c r="DL1102" s="13"/>
    </row>
    <row r="1103" spans="107:116" ht="12.75" customHeight="1">
      <c r="DC1103" s="19"/>
      <c r="DL1103" s="13"/>
    </row>
    <row r="1104" spans="107:116" ht="12.75" customHeight="1">
      <c r="DC1104" s="19"/>
      <c r="DL1104" s="13"/>
    </row>
    <row r="1105" spans="107:116" ht="12.75" customHeight="1">
      <c r="DC1105" s="19"/>
      <c r="DL1105" s="13"/>
    </row>
    <row r="1106" spans="107:116" ht="12.75" customHeight="1">
      <c r="DC1106" s="19"/>
      <c r="DL1106" s="13"/>
    </row>
    <row r="1107" spans="107:116" ht="12.75" customHeight="1">
      <c r="DC1107" s="19"/>
      <c r="DL1107" s="13"/>
    </row>
    <row r="1108" spans="107:116" ht="12.75" customHeight="1">
      <c r="DC1108" s="19"/>
      <c r="DL1108" s="13"/>
    </row>
    <row r="1109" spans="107:116" ht="12.75" customHeight="1">
      <c r="DC1109" s="19"/>
      <c r="DL1109" s="13"/>
    </row>
    <row r="1110" spans="107:116" ht="12.75" customHeight="1">
      <c r="DC1110" s="19"/>
      <c r="DL1110" s="13"/>
    </row>
    <row r="1111" spans="107:116" ht="12.75" customHeight="1">
      <c r="DC1111" s="19"/>
      <c r="DL1111" s="13"/>
    </row>
    <row r="1112" spans="107:116" ht="12.75" customHeight="1">
      <c r="DC1112" s="19"/>
      <c r="DL1112" s="13"/>
    </row>
    <row r="1113" spans="107:116" ht="12.75" customHeight="1">
      <c r="DC1113" s="19"/>
      <c r="DL1113" s="13"/>
    </row>
    <row r="1114" spans="107:116" ht="12.75" customHeight="1">
      <c r="DC1114" s="19"/>
      <c r="DL1114" s="13"/>
    </row>
    <row r="1115" spans="107:116" ht="12.75" customHeight="1">
      <c r="DC1115" s="19"/>
      <c r="DL1115" s="13"/>
    </row>
    <row r="1116" spans="107:116" ht="12.75" customHeight="1">
      <c r="DC1116" s="19"/>
      <c r="DL1116" s="13"/>
    </row>
    <row r="1117" spans="107:116" ht="12.75" customHeight="1">
      <c r="DC1117" s="19"/>
      <c r="DL1117" s="13"/>
    </row>
    <row r="1118" spans="107:116" ht="12.75" customHeight="1">
      <c r="DC1118" s="19"/>
      <c r="DL1118" s="13"/>
    </row>
    <row r="1119" spans="107:116" ht="12.75" customHeight="1">
      <c r="DC1119" s="19"/>
      <c r="DL1119" s="13"/>
    </row>
    <row r="1120" spans="107:116" ht="12.75" customHeight="1">
      <c r="DC1120" s="19"/>
      <c r="DL1120" s="13"/>
    </row>
    <row r="1121" spans="107:116" ht="12.75" customHeight="1">
      <c r="DC1121" s="19"/>
      <c r="DL1121" s="13"/>
    </row>
    <row r="1122" spans="107:116" ht="12.75" customHeight="1">
      <c r="DC1122" s="19"/>
      <c r="DL1122" s="13"/>
    </row>
    <row r="1123" spans="107:116" ht="12.75" customHeight="1">
      <c r="DC1123" s="19"/>
      <c r="DL1123" s="13"/>
    </row>
    <row r="1124" spans="107:116" ht="12.75" customHeight="1">
      <c r="DC1124" s="19"/>
      <c r="DL1124" s="13"/>
    </row>
    <row r="1125" spans="107:116" ht="12.75" customHeight="1">
      <c r="DC1125" s="19"/>
      <c r="DL1125" s="13"/>
    </row>
    <row r="1126" spans="107:116" ht="12.75" customHeight="1">
      <c r="DC1126" s="19"/>
      <c r="DL1126" s="13"/>
    </row>
    <row r="1127" spans="107:116" ht="12.75" customHeight="1">
      <c r="DC1127" s="19"/>
      <c r="DL1127" s="13"/>
    </row>
    <row r="1128" spans="107:116" ht="12.75" customHeight="1">
      <c r="DC1128" s="19"/>
      <c r="DL1128" s="13"/>
    </row>
    <row r="1129" spans="107:116" ht="12.75" customHeight="1">
      <c r="DC1129" s="19"/>
      <c r="DL1129" s="13"/>
    </row>
    <row r="1130" spans="107:116" ht="12.75" customHeight="1">
      <c r="DC1130" s="19"/>
      <c r="DL1130" s="13"/>
    </row>
    <row r="1131" spans="107:116" ht="12.75" customHeight="1">
      <c r="DC1131" s="19"/>
      <c r="DL1131" s="13"/>
    </row>
    <row r="1132" spans="107:116" ht="12.75" customHeight="1">
      <c r="DC1132" s="19"/>
      <c r="DL1132" s="13"/>
    </row>
    <row r="1133" spans="107:116" ht="12.75" customHeight="1">
      <c r="DC1133" s="19"/>
      <c r="DL1133" s="13"/>
    </row>
    <row r="1134" spans="107:116" ht="12.75" customHeight="1">
      <c r="DC1134" s="19"/>
      <c r="DL1134" s="13"/>
    </row>
    <row r="1135" spans="107:116" ht="12.75" customHeight="1">
      <c r="DC1135" s="19"/>
      <c r="DL1135" s="13"/>
    </row>
    <row r="1136" spans="107:116" ht="12.75" customHeight="1">
      <c r="DC1136" s="19"/>
      <c r="DL1136" s="13"/>
    </row>
    <row r="1137" spans="107:116" ht="12.75" customHeight="1">
      <c r="DC1137" s="19"/>
      <c r="DL1137" s="13"/>
    </row>
    <row r="1138" spans="107:116" ht="12.75" customHeight="1">
      <c r="DC1138" s="19"/>
      <c r="DL1138" s="13"/>
    </row>
    <row r="1139" spans="107:116" ht="12.75" customHeight="1">
      <c r="DC1139" s="19"/>
      <c r="DL1139" s="13"/>
    </row>
    <row r="1140" spans="107:116" ht="12.75" customHeight="1">
      <c r="DC1140" s="19"/>
      <c r="DL1140" s="13"/>
    </row>
    <row r="1141" spans="107:116" ht="12.75" customHeight="1">
      <c r="DC1141" s="19"/>
      <c r="DL1141" s="13"/>
    </row>
    <row r="1142" spans="107:116" ht="12.75" customHeight="1">
      <c r="DC1142" s="19"/>
      <c r="DL1142" s="13"/>
    </row>
    <row r="1143" spans="107:116" ht="12.75" customHeight="1">
      <c r="DC1143" s="19"/>
      <c r="DL1143" s="13"/>
    </row>
    <row r="1144" spans="107:116" ht="12.75" customHeight="1">
      <c r="DC1144" s="19"/>
      <c r="DL1144" s="13"/>
    </row>
    <row r="1145" spans="107:116" ht="12.75" customHeight="1">
      <c r="DC1145" s="19"/>
      <c r="DL1145" s="13"/>
    </row>
    <row r="1146" spans="107:116" ht="12.75" customHeight="1">
      <c r="DC1146" s="19"/>
      <c r="DL1146" s="13"/>
    </row>
    <row r="1147" spans="107:116" ht="12.75" customHeight="1">
      <c r="DC1147" s="19"/>
      <c r="DL1147" s="13"/>
    </row>
    <row r="1148" spans="107:116" ht="12.75" customHeight="1">
      <c r="DC1148" s="19"/>
      <c r="DL1148" s="13"/>
    </row>
    <row r="1149" spans="107:116" ht="12.75" customHeight="1">
      <c r="DC1149" s="19"/>
      <c r="DL1149" s="13"/>
    </row>
    <row r="1150" spans="107:116" ht="12.75" customHeight="1">
      <c r="DC1150" s="19"/>
      <c r="DL1150" s="13"/>
    </row>
    <row r="1151" spans="107:116" ht="12.75" customHeight="1">
      <c r="DC1151" s="19"/>
      <c r="DL1151" s="13"/>
    </row>
    <row r="1152" spans="107:116" ht="12.75" customHeight="1">
      <c r="DC1152" s="19"/>
      <c r="DL1152" s="13"/>
    </row>
    <row r="1153" spans="107:116" ht="12.75" customHeight="1">
      <c r="DC1153" s="19"/>
      <c r="DL1153" s="13"/>
    </row>
    <row r="1154" spans="107:116" ht="12.75" customHeight="1">
      <c r="DC1154" s="19"/>
      <c r="DL1154" s="13"/>
    </row>
    <row r="1155" spans="107:116" ht="12.75" customHeight="1">
      <c r="DC1155" s="19"/>
      <c r="DL1155" s="13"/>
    </row>
    <row r="1156" spans="107:116" ht="12.75" customHeight="1">
      <c r="DC1156" s="19"/>
      <c r="DL1156" s="13"/>
    </row>
    <row r="1157" spans="107:116" ht="12.75" customHeight="1">
      <c r="DC1157" s="19"/>
      <c r="DL1157" s="13"/>
    </row>
    <row r="1158" spans="107:116" ht="12.75" customHeight="1">
      <c r="DC1158" s="19"/>
      <c r="DL1158" s="13"/>
    </row>
    <row r="1159" spans="107:116" ht="12.75" customHeight="1">
      <c r="DC1159" s="19"/>
      <c r="DL1159" s="13"/>
    </row>
    <row r="1160" spans="107:116" ht="12.75" customHeight="1">
      <c r="DC1160" s="19"/>
      <c r="DL1160" s="13"/>
    </row>
    <row r="1161" spans="107:116" ht="12.75" customHeight="1">
      <c r="DC1161" s="19"/>
      <c r="DL1161" s="13"/>
    </row>
    <row r="1162" spans="107:116" ht="12.75" customHeight="1">
      <c r="DC1162" s="19"/>
      <c r="DL1162" s="13"/>
    </row>
    <row r="1163" spans="107:116" ht="12.75" customHeight="1">
      <c r="DC1163" s="19"/>
      <c r="DL1163" s="13"/>
    </row>
    <row r="1164" spans="107:116" ht="12.75" customHeight="1">
      <c r="DC1164" s="19"/>
      <c r="DL1164" s="13"/>
    </row>
    <row r="1165" spans="107:116" ht="12.75" customHeight="1">
      <c r="DC1165" s="19"/>
      <c r="DL1165" s="13"/>
    </row>
    <row r="1166" spans="107:116" ht="12.75" customHeight="1">
      <c r="DC1166" s="19"/>
      <c r="DL1166" s="13"/>
    </row>
    <row r="1167" spans="107:116" ht="12.75" customHeight="1">
      <c r="DC1167" s="19"/>
      <c r="DL1167" s="13"/>
    </row>
    <row r="1168" spans="107:116" ht="12.75" customHeight="1">
      <c r="DC1168" s="19"/>
      <c r="DL1168" s="13"/>
    </row>
    <row r="1169" spans="107:116" ht="12.75" customHeight="1">
      <c r="DC1169" s="19"/>
      <c r="DL1169" s="13"/>
    </row>
    <row r="1170" spans="107:116" ht="12.75" customHeight="1">
      <c r="DC1170" s="19"/>
      <c r="DL1170" s="13"/>
    </row>
    <row r="1171" spans="107:116" ht="12.75" customHeight="1">
      <c r="DC1171" s="19"/>
      <c r="DL1171" s="13"/>
    </row>
    <row r="1172" spans="107:116" ht="12.75" customHeight="1">
      <c r="DC1172" s="19"/>
      <c r="DL1172" s="13"/>
    </row>
    <row r="1173" spans="107:116" ht="12.75" customHeight="1">
      <c r="DC1173" s="19"/>
      <c r="DL1173" s="13"/>
    </row>
    <row r="1174" spans="107:116" ht="12.75" customHeight="1">
      <c r="DC1174" s="19"/>
      <c r="DL1174" s="13"/>
    </row>
    <row r="1175" spans="107:116" ht="12.75" customHeight="1">
      <c r="DC1175" s="19"/>
      <c r="DL1175" s="13"/>
    </row>
    <row r="1176" spans="107:116" ht="12.75" customHeight="1">
      <c r="DC1176" s="19"/>
      <c r="DL1176" s="13"/>
    </row>
    <row r="1177" spans="107:116" ht="12.75" customHeight="1">
      <c r="DC1177" s="19"/>
      <c r="DL1177" s="13"/>
    </row>
    <row r="1178" spans="107:116" ht="12.75" customHeight="1">
      <c r="DC1178" s="19"/>
      <c r="DL1178" s="13"/>
    </row>
    <row r="1179" spans="107:116" ht="12.75" customHeight="1">
      <c r="DC1179" s="19"/>
      <c r="DL1179" s="13"/>
    </row>
    <row r="1180" spans="107:116" ht="12.75" customHeight="1">
      <c r="DC1180" s="19"/>
      <c r="DL1180" s="13"/>
    </row>
    <row r="1181" spans="107:116" ht="12.75" customHeight="1">
      <c r="DC1181" s="19"/>
      <c r="DL1181" s="13"/>
    </row>
    <row r="1182" spans="107:116" ht="12.75" customHeight="1">
      <c r="DC1182" s="19"/>
      <c r="DL1182" s="13"/>
    </row>
    <row r="1183" spans="107:116" ht="12.75" customHeight="1">
      <c r="DC1183" s="19"/>
      <c r="DL1183" s="13"/>
    </row>
    <row r="1184" spans="107:116" ht="12.75" customHeight="1">
      <c r="DC1184" s="19"/>
      <c r="DL1184" s="13"/>
    </row>
    <row r="1185" spans="107:116" ht="12.75" customHeight="1">
      <c r="DC1185" s="19"/>
      <c r="DL1185" s="13"/>
    </row>
    <row r="1186" spans="107:116" ht="12.75" customHeight="1">
      <c r="DC1186" s="19"/>
      <c r="DL1186" s="13"/>
    </row>
    <row r="1187" spans="107:116" ht="12.75" customHeight="1">
      <c r="DC1187" s="19"/>
      <c r="DL1187" s="13"/>
    </row>
    <row r="1188" spans="107:116" ht="12.75" customHeight="1">
      <c r="DC1188" s="19"/>
      <c r="DL1188" s="13"/>
    </row>
    <row r="1189" spans="107:116" ht="12.75" customHeight="1">
      <c r="DC1189" s="19"/>
      <c r="DL1189" s="13"/>
    </row>
    <row r="1190" spans="107:116" ht="12.75" customHeight="1">
      <c r="DC1190" s="19"/>
      <c r="DL1190" s="13"/>
    </row>
    <row r="1191" spans="107:116" ht="12.75" customHeight="1">
      <c r="DC1191" s="19"/>
      <c r="DL1191" s="13"/>
    </row>
    <row r="1192" spans="107:116" ht="12.75" customHeight="1">
      <c r="DC1192" s="19"/>
      <c r="DL1192" s="13"/>
    </row>
    <row r="1193" spans="107:116" ht="12.75" customHeight="1">
      <c r="DC1193" s="19"/>
      <c r="DL1193" s="13"/>
    </row>
    <row r="1194" spans="107:116" ht="12.75" customHeight="1">
      <c r="DC1194" s="19"/>
      <c r="DL1194" s="13"/>
    </row>
    <row r="1195" spans="107:116" ht="12.75" customHeight="1">
      <c r="DC1195" s="19"/>
      <c r="DL1195" s="13"/>
    </row>
    <row r="1196" spans="107:116" ht="12.75" customHeight="1">
      <c r="DC1196" s="19"/>
      <c r="DL1196" s="13"/>
    </row>
    <row r="1197" spans="107:116" ht="12.75" customHeight="1">
      <c r="DC1197" s="19"/>
      <c r="DL1197" s="13"/>
    </row>
    <row r="1198" spans="107:116" ht="12.75" customHeight="1">
      <c r="DC1198" s="19"/>
      <c r="DL1198" s="13"/>
    </row>
    <row r="1199" spans="107:116" ht="12.75" customHeight="1">
      <c r="DC1199" s="19"/>
      <c r="DL1199" s="13"/>
    </row>
    <row r="1200" spans="107:116" ht="12.75" customHeight="1">
      <c r="DC1200" s="19"/>
      <c r="DL1200" s="13"/>
    </row>
    <row r="1201" spans="107:116" ht="12.75" customHeight="1">
      <c r="DC1201" s="19"/>
      <c r="DL1201" s="13"/>
    </row>
    <row r="1202" spans="107:116" ht="12.75" customHeight="1">
      <c r="DC1202" s="19"/>
      <c r="DL1202" s="13"/>
    </row>
    <row r="1203" spans="107:116" ht="12.75" customHeight="1">
      <c r="DC1203" s="19"/>
      <c r="DL1203" s="13"/>
    </row>
    <row r="1204" spans="107:116" ht="12.75" customHeight="1">
      <c r="DC1204" s="19"/>
      <c r="DL1204" s="13"/>
    </row>
    <row r="1205" spans="107:116" ht="12.75" customHeight="1">
      <c r="DC1205" s="19"/>
      <c r="DL1205" s="13"/>
    </row>
    <row r="1206" spans="107:116" ht="12.75" customHeight="1">
      <c r="DC1206" s="19"/>
      <c r="DL1206" s="13"/>
    </row>
    <row r="1207" spans="107:116" ht="12.75" customHeight="1">
      <c r="DC1207" s="19"/>
      <c r="DL1207" s="13"/>
    </row>
    <row r="1208" spans="107:116" ht="12.75" customHeight="1">
      <c r="DC1208" s="19"/>
      <c r="DL1208" s="13"/>
    </row>
    <row r="1209" spans="107:116" ht="12.75" customHeight="1">
      <c r="DC1209" s="19"/>
      <c r="DL1209" s="13"/>
    </row>
    <row r="1210" spans="107:116" ht="12.75" customHeight="1">
      <c r="DC1210" s="19"/>
      <c r="DL1210" s="13"/>
    </row>
    <row r="1211" spans="107:116" ht="12.75" customHeight="1">
      <c r="DC1211" s="19"/>
      <c r="DL1211" s="13"/>
    </row>
    <row r="1212" spans="107:116" ht="12.75" customHeight="1">
      <c r="DC1212" s="19"/>
      <c r="DL1212" s="13"/>
    </row>
    <row r="1213" spans="107:116" ht="12.75" customHeight="1">
      <c r="DC1213" s="19"/>
      <c r="DL1213" s="13"/>
    </row>
    <row r="1214" spans="107:116" ht="12.75" customHeight="1">
      <c r="DC1214" s="19"/>
      <c r="DL1214" s="13"/>
    </row>
    <row r="1215" spans="107:116" ht="12.75" customHeight="1">
      <c r="DC1215" s="19"/>
      <c r="DL1215" s="13"/>
    </row>
    <row r="1216" spans="107:116" ht="12.75" customHeight="1">
      <c r="DC1216" s="19"/>
      <c r="DL1216" s="13"/>
    </row>
    <row r="1217" spans="107:116" ht="12.75" customHeight="1">
      <c r="DC1217" s="19"/>
      <c r="DL1217" s="13"/>
    </row>
    <row r="1218" spans="107:116" ht="12.75" customHeight="1">
      <c r="DC1218" s="19"/>
      <c r="DL1218" s="13"/>
    </row>
    <row r="1219" spans="107:116" ht="12.75" customHeight="1">
      <c r="DC1219" s="19"/>
      <c r="DL1219" s="13"/>
    </row>
    <row r="1220" spans="107:116" ht="12.75" customHeight="1">
      <c r="DC1220" s="19"/>
      <c r="DL1220" s="13"/>
    </row>
    <row r="1221" spans="107:116" ht="12.75" customHeight="1">
      <c r="DC1221" s="19"/>
      <c r="DL1221" s="13"/>
    </row>
    <row r="1222" spans="107:116" ht="12.75" customHeight="1">
      <c r="DC1222" s="19"/>
      <c r="DL1222" s="13"/>
    </row>
    <row r="1223" spans="107:116" ht="12.75" customHeight="1">
      <c r="DC1223" s="19"/>
      <c r="DL1223" s="13"/>
    </row>
    <row r="1224" spans="107:116" ht="12.75" customHeight="1">
      <c r="DC1224" s="19"/>
      <c r="DL1224" s="13"/>
    </row>
    <row r="1225" spans="107:116" ht="12.75" customHeight="1">
      <c r="DC1225" s="19"/>
      <c r="DL1225" s="13"/>
    </row>
    <row r="1226" spans="107:116" ht="12.75" customHeight="1">
      <c r="DC1226" s="19"/>
      <c r="DL1226" s="13"/>
    </row>
    <row r="1227" spans="107:116" ht="12.75" customHeight="1">
      <c r="DC1227" s="19"/>
      <c r="DL1227" s="13"/>
    </row>
    <row r="1228" spans="107:116" ht="12.75" customHeight="1">
      <c r="DC1228" s="19"/>
      <c r="DL1228" s="13"/>
    </row>
    <row r="1229" spans="107:116" ht="12.75" customHeight="1">
      <c r="DC1229" s="19"/>
      <c r="DL1229" s="13"/>
    </row>
    <row r="1230" spans="107:116" ht="12.75" customHeight="1">
      <c r="DC1230" s="19"/>
      <c r="DL1230" s="13"/>
    </row>
    <row r="1231" spans="107:116" ht="12.75" customHeight="1">
      <c r="DC1231" s="19"/>
      <c r="DL1231" s="13"/>
    </row>
    <row r="1232" spans="107:116" ht="12.75" customHeight="1">
      <c r="DC1232" s="19"/>
      <c r="DL1232" s="13"/>
    </row>
    <row r="1233" spans="107:116" ht="12.75" customHeight="1">
      <c r="DC1233" s="19"/>
      <c r="DL1233" s="13"/>
    </row>
    <row r="1234" spans="107:116" ht="12.75" customHeight="1">
      <c r="DC1234" s="19"/>
      <c r="DL1234" s="13"/>
    </row>
    <row r="1235" spans="107:116" ht="12.75" customHeight="1">
      <c r="DC1235" s="19"/>
      <c r="DL1235" s="13"/>
    </row>
    <row r="1236" spans="107:116" ht="12.75" customHeight="1">
      <c r="DC1236" s="19"/>
      <c r="DL1236" s="13"/>
    </row>
    <row r="1237" spans="107:116" ht="12.75" customHeight="1">
      <c r="DC1237" s="19"/>
      <c r="DL1237" s="13"/>
    </row>
    <row r="1238" spans="107:116" ht="12.75" customHeight="1">
      <c r="DC1238" s="19"/>
      <c r="DL1238" s="13"/>
    </row>
    <row r="1239" spans="107:116" ht="12.75" customHeight="1">
      <c r="DC1239" s="19"/>
      <c r="DL1239" s="13"/>
    </row>
    <row r="1240" spans="107:116" ht="12.75" customHeight="1">
      <c r="DC1240" s="19"/>
      <c r="DL1240" s="13"/>
    </row>
    <row r="1241" spans="107:116" ht="12.75" customHeight="1">
      <c r="DC1241" s="19"/>
      <c r="DL1241" s="13"/>
    </row>
    <row r="1242" spans="107:116" ht="12.75" customHeight="1">
      <c r="DC1242" s="19"/>
      <c r="DL1242" s="13"/>
    </row>
    <row r="1243" spans="107:116" ht="12.75" customHeight="1">
      <c r="DC1243" s="19"/>
      <c r="DL1243" s="13"/>
    </row>
    <row r="1244" spans="107:116" ht="12.75" customHeight="1">
      <c r="DC1244" s="19"/>
      <c r="DL1244" s="13"/>
    </row>
    <row r="1245" spans="107:116" ht="12.75" customHeight="1">
      <c r="DC1245" s="19"/>
      <c r="DL1245" s="13"/>
    </row>
    <row r="1246" spans="107:116" ht="12.75" customHeight="1">
      <c r="DC1246" s="19"/>
      <c r="DL1246" s="13"/>
    </row>
    <row r="1247" spans="107:116" ht="12.75" customHeight="1">
      <c r="DC1247" s="19"/>
      <c r="DL1247" s="13"/>
    </row>
    <row r="1248" spans="107:116" ht="12.75" customHeight="1">
      <c r="DC1248" s="19"/>
      <c r="DL1248" s="13"/>
    </row>
    <row r="1249" spans="107:116" ht="12.75" customHeight="1">
      <c r="DC1249" s="19"/>
      <c r="DL1249" s="13"/>
    </row>
    <row r="1250" spans="107:116" ht="12.75" customHeight="1">
      <c r="DC1250" s="19"/>
      <c r="DL1250" s="13"/>
    </row>
    <row r="1251" spans="107:116" ht="12.75" customHeight="1">
      <c r="DC1251" s="19"/>
      <c r="DL1251" s="13"/>
    </row>
    <row r="1252" spans="107:116" ht="12.75" customHeight="1">
      <c r="DC1252" s="19"/>
      <c r="DL1252" s="13"/>
    </row>
    <row r="1253" spans="107:116" ht="12.75" customHeight="1">
      <c r="DC1253" s="19"/>
      <c r="DL1253" s="13"/>
    </row>
    <row r="1254" spans="107:116" ht="12.75" customHeight="1">
      <c r="DC1254" s="19"/>
      <c r="DL1254" s="13"/>
    </row>
    <row r="1255" spans="107:116" ht="12.75" customHeight="1">
      <c r="DC1255" s="19"/>
      <c r="DL1255" s="13"/>
    </row>
    <row r="1256" spans="107:116" ht="12.75" customHeight="1">
      <c r="DC1256" s="19"/>
      <c r="DL1256" s="13"/>
    </row>
    <row r="1257" spans="107:116" ht="12.75" customHeight="1">
      <c r="DC1257" s="19"/>
      <c r="DL1257" s="13"/>
    </row>
    <row r="1258" spans="107:116" ht="12.75" customHeight="1">
      <c r="DC1258" s="19"/>
      <c r="DL1258" s="13"/>
    </row>
    <row r="1259" spans="107:116" ht="12.75" customHeight="1">
      <c r="DC1259" s="19"/>
      <c r="DL1259" s="13"/>
    </row>
    <row r="1260" spans="107:116" ht="12.75" customHeight="1">
      <c r="DC1260" s="19"/>
      <c r="DL1260" s="13"/>
    </row>
    <row r="1261" spans="107:116" ht="12.75" customHeight="1">
      <c r="DC1261" s="19"/>
      <c r="DL1261" s="13"/>
    </row>
    <row r="1262" spans="107:116" ht="12.75" customHeight="1">
      <c r="DC1262" s="19"/>
      <c r="DL1262" s="13"/>
    </row>
    <row r="1263" spans="107:116" ht="12.75" customHeight="1">
      <c r="DC1263" s="19"/>
      <c r="DL1263" s="13"/>
    </row>
    <row r="1264" spans="107:116" ht="12.75" customHeight="1">
      <c r="DC1264" s="19"/>
      <c r="DL1264" s="13"/>
    </row>
    <row r="1265" spans="107:116" ht="12.75" customHeight="1">
      <c r="DC1265" s="19"/>
      <c r="DL1265" s="13"/>
    </row>
    <row r="1266" spans="107:116" ht="12.75" customHeight="1">
      <c r="DC1266" s="19"/>
      <c r="DL1266" s="13"/>
    </row>
    <row r="1267" spans="107:116" ht="12.75" customHeight="1">
      <c r="DC1267" s="19"/>
      <c r="DL1267" s="13"/>
    </row>
    <row r="1268" spans="107:116" ht="12.75" customHeight="1">
      <c r="DC1268" s="19"/>
      <c r="DL1268" s="13"/>
    </row>
    <row r="1269" spans="107:116" ht="12.75" customHeight="1">
      <c r="DC1269" s="19"/>
      <c r="DL1269" s="13"/>
    </row>
    <row r="1270" spans="107:116" ht="12.75" customHeight="1">
      <c r="DC1270" s="19"/>
      <c r="DL1270" s="13"/>
    </row>
    <row r="1271" spans="107:116" ht="12.75" customHeight="1">
      <c r="DC1271" s="19"/>
      <c r="DL1271" s="13"/>
    </row>
    <row r="1272" spans="107:116" ht="12.75" customHeight="1">
      <c r="DC1272" s="19"/>
      <c r="DL1272" s="13"/>
    </row>
    <row r="1273" spans="107:116" ht="12.75" customHeight="1">
      <c r="DC1273" s="19"/>
      <c r="DL1273" s="13"/>
    </row>
    <row r="1274" spans="107:116" ht="12.75" customHeight="1">
      <c r="DC1274" s="19"/>
      <c r="DL1274" s="13"/>
    </row>
    <row r="1275" spans="107:116" ht="12.75" customHeight="1">
      <c r="DC1275" s="19"/>
      <c r="DL1275" s="13"/>
    </row>
    <row r="1276" spans="107:116" ht="12.75" customHeight="1">
      <c r="DC1276" s="19"/>
      <c r="DL1276" s="13"/>
    </row>
    <row r="1277" spans="107:116" ht="12.75" customHeight="1">
      <c r="DC1277" s="19"/>
      <c r="DL1277" s="13"/>
    </row>
    <row r="1278" spans="107:116" ht="12.75" customHeight="1">
      <c r="DC1278" s="19"/>
      <c r="DL1278" s="13"/>
    </row>
    <row r="1279" spans="107:116" ht="12.75" customHeight="1">
      <c r="DC1279" s="19"/>
      <c r="DL1279" s="13"/>
    </row>
    <row r="1280" spans="107:116" ht="12.75" customHeight="1">
      <c r="DC1280" s="19"/>
      <c r="DL1280" s="13"/>
    </row>
    <row r="1281" spans="107:116" ht="12.75" customHeight="1">
      <c r="DC1281" s="19"/>
      <c r="DL1281" s="13"/>
    </row>
    <row r="1282" spans="107:116" ht="12.75" customHeight="1">
      <c r="DC1282" s="19"/>
      <c r="DL1282" s="13"/>
    </row>
    <row r="1283" spans="107:116" ht="12.75" customHeight="1">
      <c r="DC1283" s="19"/>
      <c r="DL1283" s="13"/>
    </row>
    <row r="1284" spans="107:116" ht="12.75" customHeight="1">
      <c r="DC1284" s="19"/>
      <c r="DL1284" s="13"/>
    </row>
    <row r="1285" spans="107:116" ht="12.75" customHeight="1">
      <c r="DC1285" s="19"/>
      <c r="DL1285" s="13"/>
    </row>
    <row r="1286" spans="107:116" ht="12.75" customHeight="1">
      <c r="DC1286" s="19"/>
      <c r="DL1286" s="13"/>
    </row>
    <row r="1287" spans="107:116" ht="12.75" customHeight="1">
      <c r="DC1287" s="19"/>
      <c r="DL1287" s="13"/>
    </row>
    <row r="1288" spans="107:116" ht="12.75" customHeight="1">
      <c r="DC1288" s="19"/>
      <c r="DL1288" s="13"/>
    </row>
    <row r="1289" spans="107:116" ht="12.75" customHeight="1">
      <c r="DC1289" s="19"/>
      <c r="DL1289" s="13"/>
    </row>
    <row r="1290" spans="107:116" ht="12.75" customHeight="1">
      <c r="DC1290" s="19"/>
      <c r="DL1290" s="13"/>
    </row>
    <row r="1291" spans="107:116" ht="12.75" customHeight="1">
      <c r="DC1291" s="19"/>
      <c r="DL1291" s="13"/>
    </row>
    <row r="1292" spans="107:116" ht="12.75" customHeight="1">
      <c r="DC1292" s="19"/>
      <c r="DL1292" s="13"/>
    </row>
    <row r="1293" spans="107:116" ht="12.75" customHeight="1">
      <c r="DC1293" s="19"/>
      <c r="DL1293" s="13"/>
    </row>
    <row r="1294" spans="107:116" ht="12.75" customHeight="1">
      <c r="DC1294" s="19"/>
      <c r="DL1294" s="13"/>
    </row>
    <row r="1295" spans="107:116" ht="12.75" customHeight="1">
      <c r="DC1295" s="19"/>
      <c r="DL1295" s="13"/>
    </row>
    <row r="1296" spans="107:116" ht="12.75" customHeight="1">
      <c r="DC1296" s="19"/>
      <c r="DL1296" s="13"/>
    </row>
    <row r="1297" spans="107:116" ht="12.75" customHeight="1">
      <c r="DC1297" s="19"/>
      <c r="DL1297" s="13"/>
    </row>
    <row r="1298" spans="107:116" ht="12.75" customHeight="1">
      <c r="DC1298" s="19"/>
      <c r="DL1298" s="13"/>
    </row>
    <row r="1299" spans="107:116" ht="12.75" customHeight="1">
      <c r="DC1299" s="19"/>
      <c r="DL1299" s="13"/>
    </row>
    <row r="1300" spans="107:116" ht="12.75" customHeight="1">
      <c r="DC1300" s="19"/>
      <c r="DL1300" s="13"/>
    </row>
    <row r="1301" spans="107:116" ht="12.75" customHeight="1">
      <c r="DC1301" s="19"/>
      <c r="DL1301" s="13"/>
    </row>
    <row r="1302" spans="107:116" ht="12.75" customHeight="1">
      <c r="DC1302" s="19"/>
      <c r="DL1302" s="13"/>
    </row>
    <row r="1303" spans="107:116" ht="12.75" customHeight="1">
      <c r="DC1303" s="19"/>
      <c r="DL1303" s="13"/>
    </row>
    <row r="1304" spans="107:116" ht="12.75" customHeight="1">
      <c r="DC1304" s="19"/>
      <c r="DL1304" s="13"/>
    </row>
    <row r="1305" spans="107:116" ht="12.75" customHeight="1">
      <c r="DC1305" s="19"/>
      <c r="DL1305" s="13"/>
    </row>
    <row r="1306" spans="107:116" ht="12.75" customHeight="1">
      <c r="DC1306" s="19"/>
      <c r="DL1306" s="13"/>
    </row>
    <row r="1307" spans="107:116" ht="12.75" customHeight="1">
      <c r="DC1307" s="19"/>
      <c r="DL1307" s="13"/>
    </row>
    <row r="1308" spans="107:116" ht="12.75" customHeight="1">
      <c r="DC1308" s="19"/>
      <c r="DL1308" s="13"/>
    </row>
    <row r="1309" spans="107:116" ht="12.75" customHeight="1">
      <c r="DC1309" s="19"/>
      <c r="DL1309" s="13"/>
    </row>
    <row r="1310" spans="107:116" ht="12.75" customHeight="1">
      <c r="DC1310" s="19"/>
      <c r="DL1310" s="13"/>
    </row>
    <row r="1311" spans="107:116" ht="12.75" customHeight="1">
      <c r="DC1311" s="19"/>
      <c r="DL1311" s="13"/>
    </row>
    <row r="1312" spans="107:116" ht="12.75" customHeight="1">
      <c r="DC1312" s="19"/>
      <c r="DL1312" s="13"/>
    </row>
    <row r="1313" spans="107:116" ht="12.75" customHeight="1">
      <c r="DC1313" s="19"/>
      <c r="DL1313" s="13"/>
    </row>
    <row r="1314" spans="107:116" ht="12.75" customHeight="1">
      <c r="DC1314" s="19"/>
      <c r="DL1314" s="13"/>
    </row>
    <row r="1315" spans="107:116" ht="12.75" customHeight="1">
      <c r="DC1315" s="19"/>
      <c r="DL1315" s="13"/>
    </row>
    <row r="1316" spans="107:116" ht="12.75" customHeight="1">
      <c r="DC1316" s="19"/>
      <c r="DL1316" s="13"/>
    </row>
    <row r="1317" spans="107:116" ht="12.75" customHeight="1">
      <c r="DC1317" s="19"/>
      <c r="DL1317" s="13"/>
    </row>
    <row r="1318" spans="107:116" ht="12.75" customHeight="1">
      <c r="DC1318" s="19"/>
      <c r="DL1318" s="13"/>
    </row>
    <row r="1319" spans="107:116" ht="12.75" customHeight="1">
      <c r="DC1319" s="19"/>
      <c r="DL1319" s="13"/>
    </row>
    <row r="1320" spans="107:116" ht="12.75" customHeight="1">
      <c r="DC1320" s="19"/>
      <c r="DL1320" s="13"/>
    </row>
    <row r="1321" spans="107:116" ht="12.75" customHeight="1">
      <c r="DC1321" s="19"/>
      <c r="DL1321" s="13"/>
    </row>
    <row r="1322" spans="107:116" ht="12.75" customHeight="1">
      <c r="DC1322" s="19"/>
      <c r="DL1322" s="13"/>
    </row>
    <row r="1323" spans="107:116" ht="12.75" customHeight="1">
      <c r="DC1323" s="19"/>
      <c r="DL1323" s="13"/>
    </row>
    <row r="1324" spans="107:116" ht="12.75" customHeight="1">
      <c r="DC1324" s="19"/>
      <c r="DL1324" s="13"/>
    </row>
    <row r="1325" spans="107:116" ht="12.75" customHeight="1">
      <c r="DC1325" s="19"/>
      <c r="DL1325" s="13"/>
    </row>
    <row r="1326" spans="107:116" ht="12.75" customHeight="1">
      <c r="DC1326" s="19"/>
      <c r="DL1326" s="13"/>
    </row>
    <row r="1327" spans="107:116" ht="12.75" customHeight="1">
      <c r="DC1327" s="19"/>
      <c r="DL1327" s="13"/>
    </row>
    <row r="1328" spans="107:116" ht="12.75" customHeight="1">
      <c r="DC1328" s="19"/>
      <c r="DL1328" s="13"/>
    </row>
    <row r="1329" spans="107:116" ht="12.75" customHeight="1">
      <c r="DC1329" s="19"/>
      <c r="DL1329" s="13"/>
    </row>
    <row r="1330" spans="107:116" ht="12.75" customHeight="1">
      <c r="DC1330" s="19"/>
      <c r="DL1330" s="13"/>
    </row>
    <row r="1331" spans="107:116" ht="12.75" customHeight="1">
      <c r="DC1331" s="19"/>
      <c r="DL1331" s="13"/>
    </row>
    <row r="1332" spans="107:116" ht="12.75" customHeight="1">
      <c r="DC1332" s="19"/>
      <c r="DL1332" s="13"/>
    </row>
    <row r="1333" spans="107:116" ht="12.75" customHeight="1">
      <c r="DC1333" s="19"/>
      <c r="DL1333" s="13"/>
    </row>
    <row r="1334" spans="107:116" ht="12.75" customHeight="1">
      <c r="DC1334" s="19"/>
      <c r="DL1334" s="13"/>
    </row>
    <row r="1335" spans="107:116" ht="12.75" customHeight="1">
      <c r="DC1335" s="19"/>
      <c r="DL1335" s="13"/>
    </row>
    <row r="1336" spans="107:116" ht="12.75" customHeight="1">
      <c r="DC1336" s="19"/>
      <c r="DL1336" s="13"/>
    </row>
    <row r="1337" spans="107:116" ht="12.75" customHeight="1">
      <c r="DC1337" s="19"/>
      <c r="DL1337" s="13"/>
    </row>
    <row r="1338" spans="107:116" ht="12.75" customHeight="1">
      <c r="DC1338" s="19"/>
      <c r="DL1338" s="13"/>
    </row>
    <row r="1339" spans="107:116" ht="12.75" customHeight="1">
      <c r="DC1339" s="19"/>
      <c r="DL1339" s="13"/>
    </row>
    <row r="1340" spans="107:116" ht="12.75" customHeight="1">
      <c r="DC1340" s="19"/>
      <c r="DL1340" s="13"/>
    </row>
    <row r="1341" spans="107:116" ht="12.75" customHeight="1">
      <c r="DC1341" s="19"/>
      <c r="DL1341" s="13"/>
    </row>
    <row r="1342" spans="107:116" ht="12.75" customHeight="1">
      <c r="DC1342" s="19"/>
      <c r="DL1342" s="13"/>
    </row>
    <row r="1343" spans="107:116" ht="12.75" customHeight="1">
      <c r="DC1343" s="19"/>
      <c r="DL1343" s="13"/>
    </row>
    <row r="1344" spans="107:116" ht="12.75" customHeight="1">
      <c r="DC1344" s="19"/>
      <c r="DL1344" s="13"/>
    </row>
    <row r="1345" spans="107:116" ht="12.75" customHeight="1">
      <c r="DC1345" s="19"/>
      <c r="DL1345" s="13"/>
    </row>
    <row r="1346" spans="107:116" ht="12.75" customHeight="1">
      <c r="DC1346" s="19"/>
      <c r="DL1346" s="13"/>
    </row>
    <row r="1347" spans="107:116" ht="12.75" customHeight="1">
      <c r="DC1347" s="19"/>
      <c r="DL1347" s="13"/>
    </row>
    <row r="1348" spans="107:116" ht="12.75" customHeight="1">
      <c r="DC1348" s="19"/>
      <c r="DL1348" s="13"/>
    </row>
    <row r="1349" spans="107:116" ht="12.75" customHeight="1">
      <c r="DC1349" s="19"/>
      <c r="DL1349" s="13"/>
    </row>
    <row r="1350" spans="107:116" ht="12.75" customHeight="1">
      <c r="DC1350" s="19"/>
      <c r="DL1350" s="13"/>
    </row>
    <row r="1351" spans="107:116" ht="12.75" customHeight="1">
      <c r="DC1351" s="19"/>
      <c r="DL1351" s="13"/>
    </row>
    <row r="1352" spans="107:116" ht="12.75" customHeight="1">
      <c r="DC1352" s="19"/>
      <c r="DL1352" s="13"/>
    </row>
    <row r="1353" spans="107:116" ht="12.75" customHeight="1">
      <c r="DC1353" s="19"/>
      <c r="DL1353" s="13"/>
    </row>
    <row r="1354" spans="107:116" ht="12.75" customHeight="1">
      <c r="DC1354" s="19"/>
      <c r="DL1354" s="13"/>
    </row>
    <row r="1355" spans="107:116" ht="12.75" customHeight="1">
      <c r="DC1355" s="19"/>
      <c r="DL1355" s="13"/>
    </row>
    <row r="1356" spans="107:116" ht="12.75" customHeight="1">
      <c r="DC1356" s="19"/>
      <c r="DL1356" s="13"/>
    </row>
    <row r="1357" spans="107:116" ht="12.75" customHeight="1">
      <c r="DC1357" s="19"/>
      <c r="DL1357" s="13"/>
    </row>
    <row r="1358" spans="107:116" ht="12.75" customHeight="1">
      <c r="DC1358" s="19"/>
      <c r="DL1358" s="13"/>
    </row>
    <row r="1359" spans="107:116" ht="12.75" customHeight="1">
      <c r="DC1359" s="19"/>
      <c r="DL1359" s="13"/>
    </row>
    <row r="1360" spans="107:116" ht="12.75" customHeight="1">
      <c r="DC1360" s="19"/>
      <c r="DL1360" s="13"/>
    </row>
    <row r="1361" spans="107:116" ht="12.75" customHeight="1">
      <c r="DC1361" s="19"/>
      <c r="DL1361" s="13"/>
    </row>
    <row r="1362" spans="107:116" ht="12.75" customHeight="1">
      <c r="DC1362" s="19"/>
      <c r="DL1362" s="13"/>
    </row>
    <row r="1363" spans="107:116" ht="12.75" customHeight="1">
      <c r="DC1363" s="19"/>
      <c r="DL1363" s="13"/>
    </row>
    <row r="1364" spans="107:116" ht="12.75" customHeight="1">
      <c r="DC1364" s="19"/>
      <c r="DL1364" s="13"/>
    </row>
    <row r="1365" spans="107:116" ht="12.75" customHeight="1">
      <c r="DC1365" s="19"/>
      <c r="DL1365" s="13"/>
    </row>
    <row r="1366" spans="107:116" ht="12.75" customHeight="1">
      <c r="DC1366" s="19"/>
      <c r="DL1366" s="13"/>
    </row>
    <row r="1367" spans="107:116" ht="12.75" customHeight="1">
      <c r="DC1367" s="19"/>
      <c r="DL1367" s="13"/>
    </row>
    <row r="1368" spans="107:116" ht="12.75" customHeight="1">
      <c r="DC1368" s="19"/>
      <c r="DL1368" s="13"/>
    </row>
    <row r="1369" spans="107:116" ht="12.75" customHeight="1">
      <c r="DC1369" s="19"/>
      <c r="DL1369" s="13"/>
    </row>
    <row r="1370" spans="107:116" ht="12.75" customHeight="1">
      <c r="DC1370" s="19"/>
      <c r="DL1370" s="13"/>
    </row>
    <row r="1371" spans="107:116" ht="12.75" customHeight="1">
      <c r="DC1371" s="19"/>
      <c r="DL1371" s="13"/>
    </row>
    <row r="1372" spans="107:116" ht="12.75" customHeight="1">
      <c r="DC1372" s="19"/>
      <c r="DL1372" s="13"/>
    </row>
    <row r="1373" spans="107:116" ht="12.75" customHeight="1">
      <c r="DC1373" s="19"/>
      <c r="DL1373" s="13"/>
    </row>
    <row r="1374" spans="107:116" ht="12.75" customHeight="1">
      <c r="DC1374" s="19"/>
      <c r="DL1374" s="13"/>
    </row>
    <row r="1375" spans="107:116" ht="12.75" customHeight="1">
      <c r="DC1375" s="19"/>
      <c r="DL1375" s="13"/>
    </row>
    <row r="1376" spans="107:116" ht="12.75" customHeight="1">
      <c r="DC1376" s="19"/>
      <c r="DL1376" s="13"/>
    </row>
    <row r="1377" spans="107:116" ht="12.75" customHeight="1">
      <c r="DC1377" s="19"/>
      <c r="DL1377" s="13"/>
    </row>
    <row r="1378" spans="107:116" ht="12.75" customHeight="1">
      <c r="DC1378" s="19"/>
      <c r="DL1378" s="13"/>
    </row>
    <row r="1379" spans="107:116" ht="12.75" customHeight="1">
      <c r="DC1379" s="19"/>
      <c r="DL1379" s="13"/>
    </row>
    <row r="1380" spans="107:116" ht="12.75" customHeight="1">
      <c r="DC1380" s="19"/>
      <c r="DL1380" s="13"/>
    </row>
    <row r="1381" spans="107:116" ht="12.75" customHeight="1">
      <c r="DC1381" s="19"/>
      <c r="DL1381" s="13"/>
    </row>
    <row r="1382" spans="107:116" ht="12.75" customHeight="1">
      <c r="DC1382" s="19"/>
      <c r="DL1382" s="13"/>
    </row>
    <row r="1383" spans="107:116" ht="12.75" customHeight="1">
      <c r="DC1383" s="19"/>
      <c r="DL1383" s="13"/>
    </row>
    <row r="1384" spans="107:116" ht="12.75" customHeight="1">
      <c r="DC1384" s="19"/>
      <c r="DL1384" s="13"/>
    </row>
    <row r="1385" spans="107:116" ht="12.75" customHeight="1">
      <c r="DC1385" s="19"/>
      <c r="DL1385" s="13"/>
    </row>
    <row r="1386" spans="107:116" ht="12.75" customHeight="1">
      <c r="DC1386" s="19"/>
      <c r="DL1386" s="13"/>
    </row>
    <row r="1387" spans="107:116" ht="12.75" customHeight="1">
      <c r="DC1387" s="19"/>
      <c r="DL1387" s="13"/>
    </row>
    <row r="1388" spans="107:116" ht="12.75" customHeight="1">
      <c r="DC1388" s="19"/>
      <c r="DL1388" s="13"/>
    </row>
    <row r="1389" spans="107:116" ht="12.75" customHeight="1">
      <c r="DC1389" s="19"/>
      <c r="DL1389" s="13"/>
    </row>
    <row r="1390" spans="107:116" ht="12.75" customHeight="1">
      <c r="DC1390" s="19"/>
      <c r="DL1390" s="13"/>
    </row>
    <row r="1391" spans="107:116" ht="12.75" customHeight="1">
      <c r="DC1391" s="19"/>
      <c r="DL1391" s="13"/>
    </row>
    <row r="1392" spans="107:116" ht="12.75" customHeight="1">
      <c r="DC1392" s="19"/>
      <c r="DL1392" s="13"/>
    </row>
    <row r="1393" spans="107:116" ht="12.75" customHeight="1">
      <c r="DC1393" s="19"/>
      <c r="DL1393" s="13"/>
    </row>
    <row r="1394" spans="107:116" ht="12.75" customHeight="1">
      <c r="DC1394" s="19"/>
      <c r="DL1394" s="13"/>
    </row>
    <row r="1395" spans="107:116" ht="12.75" customHeight="1">
      <c r="DC1395" s="19"/>
      <c r="DL1395" s="13"/>
    </row>
    <row r="1396" spans="107:116" ht="12.75" customHeight="1">
      <c r="DC1396" s="19"/>
      <c r="DL1396" s="13"/>
    </row>
    <row r="1397" spans="107:116" ht="12.75" customHeight="1">
      <c r="DC1397" s="19"/>
      <c r="DL1397" s="13"/>
    </row>
    <row r="1398" spans="107:116" ht="12.75" customHeight="1">
      <c r="DC1398" s="19"/>
      <c r="DL1398" s="13"/>
    </row>
    <row r="1399" spans="107:116" ht="12.75" customHeight="1">
      <c r="DC1399" s="19"/>
      <c r="DL1399" s="13"/>
    </row>
    <row r="1400" spans="107:116" ht="12.75" customHeight="1">
      <c r="DC1400" s="19"/>
      <c r="DL1400" s="13"/>
    </row>
    <row r="1401" spans="107:116" ht="12.75" customHeight="1">
      <c r="DC1401" s="19"/>
      <c r="DL1401" s="13"/>
    </row>
    <row r="1402" spans="107:116" ht="12.75" customHeight="1">
      <c r="DC1402" s="19"/>
      <c r="DL1402" s="13"/>
    </row>
    <row r="1403" spans="107:116" ht="12.75" customHeight="1">
      <c r="DC1403" s="19"/>
      <c r="DL1403" s="13"/>
    </row>
    <row r="1404" spans="107:116" ht="12.75" customHeight="1">
      <c r="DC1404" s="19"/>
      <c r="DL1404" s="13"/>
    </row>
    <row r="1405" spans="107:116" ht="12.75" customHeight="1">
      <c r="DC1405" s="19"/>
      <c r="DL1405" s="13"/>
    </row>
    <row r="1406" spans="107:116" ht="12.75" customHeight="1">
      <c r="DC1406" s="19"/>
      <c r="DL1406" s="13"/>
    </row>
    <row r="1407" spans="107:116" ht="12.75" customHeight="1">
      <c r="DC1407" s="19"/>
      <c r="DL1407" s="13"/>
    </row>
    <row r="1408" spans="107:116" ht="12.75" customHeight="1">
      <c r="DC1408" s="19"/>
      <c r="DL1408" s="13"/>
    </row>
    <row r="1409" spans="107:116" ht="12.75" customHeight="1">
      <c r="DC1409" s="19"/>
      <c r="DL1409" s="13"/>
    </row>
    <row r="1410" spans="107:116" ht="12.75" customHeight="1">
      <c r="DC1410" s="19"/>
      <c r="DL1410" s="13"/>
    </row>
    <row r="1411" spans="107:116" ht="12.75" customHeight="1">
      <c r="DC1411" s="19"/>
      <c r="DL1411" s="13"/>
    </row>
    <row r="1412" spans="107:116" ht="12.75" customHeight="1">
      <c r="DC1412" s="19"/>
      <c r="DL1412" s="13"/>
    </row>
    <row r="1413" spans="107:116" ht="12.75" customHeight="1">
      <c r="DC1413" s="19"/>
      <c r="DL1413" s="13"/>
    </row>
    <row r="1414" spans="107:116" ht="12.75" customHeight="1">
      <c r="DC1414" s="19"/>
      <c r="DL1414" s="13"/>
    </row>
    <row r="1415" spans="107:116" ht="12.75" customHeight="1">
      <c r="DC1415" s="19"/>
      <c r="DL1415" s="13"/>
    </row>
    <row r="1416" spans="107:116" ht="12.75" customHeight="1">
      <c r="DC1416" s="19"/>
      <c r="DL1416" s="13"/>
    </row>
    <row r="1417" spans="107:116" ht="12.75" customHeight="1">
      <c r="DC1417" s="19"/>
      <c r="DL1417" s="13"/>
    </row>
    <row r="1418" spans="107:116" ht="12.75" customHeight="1">
      <c r="DC1418" s="19"/>
      <c r="DL1418" s="13"/>
    </row>
    <row r="1419" spans="107:116" ht="12.75" customHeight="1">
      <c r="DC1419" s="19"/>
      <c r="DL1419" s="13"/>
    </row>
    <row r="1420" spans="107:116" ht="12.75" customHeight="1">
      <c r="DC1420" s="19"/>
      <c r="DL1420" s="13"/>
    </row>
    <row r="1421" spans="107:116" ht="12.75" customHeight="1">
      <c r="DC1421" s="19"/>
      <c r="DL1421" s="13"/>
    </row>
    <row r="1422" spans="107:116" ht="12.75" customHeight="1">
      <c r="DC1422" s="19"/>
      <c r="DL1422" s="13"/>
    </row>
    <row r="1423" spans="107:116" ht="12.75" customHeight="1">
      <c r="DC1423" s="19"/>
      <c r="DL1423" s="13"/>
    </row>
    <row r="1424" spans="107:116" ht="12.75" customHeight="1">
      <c r="DC1424" s="19"/>
      <c r="DL1424" s="13"/>
    </row>
    <row r="1425" spans="107:116" ht="12.75" customHeight="1">
      <c r="DC1425" s="19"/>
      <c r="DL1425" s="13"/>
    </row>
    <row r="1426" spans="107:116" ht="12.75" customHeight="1">
      <c r="DC1426" s="19"/>
      <c r="DL1426" s="13"/>
    </row>
    <row r="1427" spans="107:116" ht="12.75" customHeight="1">
      <c r="DC1427" s="19"/>
      <c r="DL1427" s="13"/>
    </row>
    <row r="1428" spans="107:116" ht="12.75" customHeight="1">
      <c r="DC1428" s="19"/>
      <c r="DL1428" s="13"/>
    </row>
    <row r="1429" spans="107:116" ht="12.75" customHeight="1">
      <c r="DC1429" s="19"/>
      <c r="DL1429" s="13"/>
    </row>
    <row r="1430" spans="107:116" ht="12.75" customHeight="1">
      <c r="DC1430" s="19"/>
      <c r="DL1430" s="13"/>
    </row>
    <row r="1431" spans="107:116" ht="12.75" customHeight="1">
      <c r="DC1431" s="19"/>
      <c r="DL1431" s="13"/>
    </row>
    <row r="1432" spans="107:116" ht="12.75" customHeight="1">
      <c r="DC1432" s="19"/>
      <c r="DL1432" s="13"/>
    </row>
    <row r="1433" spans="107:116" ht="12.75" customHeight="1">
      <c r="DC1433" s="19"/>
      <c r="DL1433" s="13"/>
    </row>
    <row r="1434" spans="107:116" ht="12.75" customHeight="1">
      <c r="DC1434" s="19"/>
      <c r="DL1434" s="13"/>
    </row>
    <row r="1435" spans="107:116" ht="12.75" customHeight="1">
      <c r="DC1435" s="19"/>
      <c r="DL1435" s="13"/>
    </row>
    <row r="1436" spans="107:116" ht="12.75" customHeight="1">
      <c r="DC1436" s="19"/>
      <c r="DL1436" s="13"/>
    </row>
    <row r="1437" spans="107:116" ht="12.75" customHeight="1">
      <c r="DC1437" s="19"/>
      <c r="DL1437" s="13"/>
    </row>
    <row r="1438" spans="107:116" ht="12.75" customHeight="1">
      <c r="DC1438" s="19"/>
      <c r="DL1438" s="13"/>
    </row>
    <row r="1439" spans="107:116" ht="12.75" customHeight="1">
      <c r="DC1439" s="19"/>
      <c r="DL1439" s="13"/>
    </row>
    <row r="1440" spans="107:116" ht="12.75" customHeight="1">
      <c r="DC1440" s="19"/>
      <c r="DL1440" s="13"/>
    </row>
    <row r="1441" spans="107:116" ht="12.75" customHeight="1">
      <c r="DC1441" s="19"/>
      <c r="DL1441" s="13"/>
    </row>
    <row r="1442" spans="107:116" ht="12.75" customHeight="1">
      <c r="DC1442" s="19"/>
      <c r="DL1442" s="13"/>
    </row>
    <row r="1443" spans="107:116" ht="12.75" customHeight="1">
      <c r="DC1443" s="19"/>
      <c r="DL1443" s="13"/>
    </row>
    <row r="1444" spans="107:116" ht="12.75" customHeight="1">
      <c r="DC1444" s="19"/>
      <c r="DL1444" s="13"/>
    </row>
    <row r="1445" spans="107:116" ht="12.75" customHeight="1">
      <c r="DC1445" s="19"/>
      <c r="DL1445" s="13"/>
    </row>
    <row r="1446" spans="107:116" ht="12.75" customHeight="1">
      <c r="DC1446" s="19"/>
      <c r="DL1446" s="13"/>
    </row>
    <row r="1447" spans="107:116" ht="12.75" customHeight="1">
      <c r="DC1447" s="19"/>
      <c r="DL1447" s="13"/>
    </row>
    <row r="1448" spans="107:116" ht="12.75" customHeight="1">
      <c r="DC1448" s="19"/>
      <c r="DL1448" s="13"/>
    </row>
    <row r="1449" spans="107:116" ht="12.75" customHeight="1">
      <c r="DC1449" s="19"/>
      <c r="DL1449" s="13"/>
    </row>
    <row r="1450" spans="107:116" ht="12.75" customHeight="1">
      <c r="DC1450" s="19"/>
      <c r="DL1450" s="13"/>
    </row>
    <row r="1451" spans="107:116" ht="12.75" customHeight="1">
      <c r="DC1451" s="19"/>
      <c r="DL1451" s="13"/>
    </row>
    <row r="1452" spans="107:116" ht="12.75" customHeight="1">
      <c r="DC1452" s="19"/>
      <c r="DL1452" s="13"/>
    </row>
    <row r="1453" spans="107:116" ht="12.75" customHeight="1">
      <c r="DC1453" s="19"/>
      <c r="DL1453" s="13"/>
    </row>
    <row r="1454" spans="107:116" ht="12.75" customHeight="1">
      <c r="DC1454" s="19"/>
      <c r="DL1454" s="13"/>
    </row>
    <row r="1455" spans="107:116" ht="12.75" customHeight="1">
      <c r="DC1455" s="19"/>
      <c r="DL1455" s="13"/>
    </row>
    <row r="1456" spans="107:116" ht="12.75" customHeight="1">
      <c r="DC1456" s="19"/>
      <c r="DL1456" s="13"/>
    </row>
    <row r="1457" spans="107:116" ht="12.75" customHeight="1">
      <c r="DC1457" s="19"/>
      <c r="DL1457" s="13"/>
    </row>
    <row r="1458" spans="107:116" ht="12.75" customHeight="1">
      <c r="DC1458" s="19"/>
      <c r="DL1458" s="13"/>
    </row>
    <row r="1459" spans="107:116" ht="12.75" customHeight="1">
      <c r="DC1459" s="19"/>
      <c r="DL1459" s="13"/>
    </row>
    <row r="1460" spans="107:116" ht="12.75" customHeight="1">
      <c r="DC1460" s="19"/>
      <c r="DL1460" s="13"/>
    </row>
    <row r="1461" spans="107:116" ht="12.75" customHeight="1">
      <c r="DC1461" s="19"/>
      <c r="DL1461" s="13"/>
    </row>
    <row r="1462" spans="107:116" ht="12.75" customHeight="1">
      <c r="DC1462" s="19"/>
      <c r="DL1462" s="13"/>
    </row>
    <row r="1463" spans="107:116" ht="12.75" customHeight="1">
      <c r="DC1463" s="19"/>
      <c r="DL1463" s="13"/>
    </row>
    <row r="1464" spans="107:116" ht="12.75" customHeight="1">
      <c r="DC1464" s="19"/>
      <c r="DL1464" s="13"/>
    </row>
    <row r="1465" spans="107:116" ht="12.75" customHeight="1">
      <c r="DC1465" s="19"/>
      <c r="DL1465" s="13"/>
    </row>
    <row r="1466" spans="107:116" ht="12.75" customHeight="1">
      <c r="DC1466" s="19"/>
      <c r="DL1466" s="13"/>
    </row>
    <row r="1467" spans="107:116" ht="12.75" customHeight="1">
      <c r="DC1467" s="19"/>
      <c r="DL1467" s="13"/>
    </row>
    <row r="1468" spans="107:116" ht="12.75" customHeight="1">
      <c r="DC1468" s="19"/>
      <c r="DL1468" s="13"/>
    </row>
    <row r="1469" spans="107:116" ht="12.75" customHeight="1">
      <c r="DC1469" s="19"/>
      <c r="DL1469" s="13"/>
    </row>
    <row r="1470" spans="107:116" ht="12.75" customHeight="1">
      <c r="DC1470" s="19"/>
      <c r="DL1470" s="13"/>
    </row>
    <row r="1471" spans="107:116" ht="12.75" customHeight="1">
      <c r="DC1471" s="19"/>
      <c r="DL1471" s="13"/>
    </row>
    <row r="1472" spans="107:116" ht="12.75" customHeight="1">
      <c r="DC1472" s="19"/>
      <c r="DL1472" s="13"/>
    </row>
    <row r="1473" spans="107:116" ht="12.75" customHeight="1">
      <c r="DC1473" s="19"/>
      <c r="DL1473" s="13"/>
    </row>
    <row r="1474" spans="107:116" ht="12.75" customHeight="1">
      <c r="DC1474" s="19"/>
      <c r="DL1474" s="13"/>
    </row>
    <row r="1475" spans="107:116" ht="12.75" customHeight="1">
      <c r="DC1475" s="19"/>
      <c r="DL1475" s="13"/>
    </row>
    <row r="1476" spans="107:116" ht="12.75" customHeight="1">
      <c r="DC1476" s="19"/>
      <c r="DL1476" s="13"/>
    </row>
    <row r="1477" spans="107:116" ht="12.75" customHeight="1">
      <c r="DC1477" s="19"/>
      <c r="DL1477" s="13"/>
    </row>
    <row r="1478" spans="107:116" ht="12.75" customHeight="1">
      <c r="DC1478" s="19"/>
      <c r="DL1478" s="13"/>
    </row>
    <row r="1479" spans="107:116" ht="12.75" customHeight="1">
      <c r="DC1479" s="19"/>
      <c r="DL1479" s="13"/>
    </row>
    <row r="1480" spans="107:116" ht="12.75" customHeight="1">
      <c r="DC1480" s="19"/>
      <c r="DL1480" s="13"/>
    </row>
    <row r="1481" spans="107:116" ht="12.75" customHeight="1">
      <c r="DC1481" s="19"/>
      <c r="DL1481" s="13"/>
    </row>
    <row r="1482" spans="107:116" ht="12.75" customHeight="1">
      <c r="DC1482" s="19"/>
      <c r="DL1482" s="13"/>
    </row>
    <row r="1483" spans="107:116" ht="12.75" customHeight="1">
      <c r="DC1483" s="19"/>
      <c r="DL1483" s="13"/>
    </row>
    <row r="1484" spans="107:116" ht="12.75" customHeight="1">
      <c r="DC1484" s="19"/>
      <c r="DL1484" s="13"/>
    </row>
    <row r="1485" spans="107:116" ht="12.75" customHeight="1">
      <c r="DC1485" s="19"/>
      <c r="DL1485" s="13"/>
    </row>
    <row r="1486" spans="107:116" ht="12.75" customHeight="1">
      <c r="DC1486" s="19"/>
      <c r="DL1486" s="13"/>
    </row>
    <row r="1487" spans="107:116" ht="12.75" customHeight="1">
      <c r="DC1487" s="19"/>
      <c r="DL1487" s="13"/>
    </row>
    <row r="1488" spans="107:116" ht="12.75" customHeight="1">
      <c r="DC1488" s="19"/>
      <c r="DL1488" s="13"/>
    </row>
    <row r="1489" spans="107:116" ht="12.75" customHeight="1">
      <c r="DC1489" s="19"/>
      <c r="DL1489" s="13"/>
    </row>
    <row r="1490" spans="107:116" ht="12.75" customHeight="1">
      <c r="DC1490" s="19"/>
      <c r="DL1490" s="13"/>
    </row>
    <row r="1491" spans="107:116" ht="12.75" customHeight="1">
      <c r="DC1491" s="19"/>
      <c r="DL1491" s="13"/>
    </row>
    <row r="1492" spans="107:116" ht="12.75" customHeight="1">
      <c r="DC1492" s="19"/>
      <c r="DL1492" s="13"/>
    </row>
    <row r="1493" spans="107:116" ht="12.75" customHeight="1">
      <c r="DC1493" s="19"/>
      <c r="DL1493" s="13"/>
    </row>
    <row r="1494" spans="107:116" ht="12.75" customHeight="1">
      <c r="DC1494" s="19"/>
      <c r="DL1494" s="13"/>
    </row>
    <row r="1495" spans="107:116" ht="12.75" customHeight="1">
      <c r="DC1495" s="19"/>
      <c r="DL1495" s="13"/>
    </row>
    <row r="1496" spans="107:116" ht="12.75" customHeight="1">
      <c r="DC1496" s="19"/>
      <c r="DL1496" s="13"/>
    </row>
    <row r="1497" spans="107:116" ht="12.75" customHeight="1">
      <c r="DC1497" s="19"/>
      <c r="DL1497" s="13"/>
    </row>
    <row r="1498" spans="107:116" ht="12.75" customHeight="1">
      <c r="DC1498" s="19"/>
      <c r="DL1498" s="13"/>
    </row>
    <row r="1499" spans="107:116" ht="12.75" customHeight="1">
      <c r="DC1499" s="19"/>
      <c r="DL1499" s="13"/>
    </row>
    <row r="1500" spans="107:116" ht="12.75" customHeight="1">
      <c r="DC1500" s="19"/>
      <c r="DL1500" s="13"/>
    </row>
    <row r="1501" spans="107:116" ht="12.75" customHeight="1">
      <c r="DC1501" s="19"/>
      <c r="DL1501" s="13"/>
    </row>
    <row r="1502" spans="107:116" ht="12.75" customHeight="1">
      <c r="DC1502" s="19"/>
      <c r="DL1502" s="13"/>
    </row>
    <row r="1503" spans="107:116" ht="12.75" customHeight="1">
      <c r="DC1503" s="19"/>
      <c r="DL1503" s="13"/>
    </row>
    <row r="1504" spans="107:116" ht="12.75" customHeight="1">
      <c r="DC1504" s="19"/>
      <c r="DL1504" s="13"/>
    </row>
    <row r="1505" spans="107:116" ht="12.75" customHeight="1">
      <c r="DC1505" s="19"/>
      <c r="DL1505" s="13"/>
    </row>
    <row r="1506" spans="107:116" ht="12.75" customHeight="1">
      <c r="DC1506" s="19"/>
      <c r="DL1506" s="13"/>
    </row>
    <row r="1507" spans="107:116" ht="12.75" customHeight="1">
      <c r="DC1507" s="19"/>
      <c r="DL1507" s="13"/>
    </row>
    <row r="1508" spans="107:116" ht="12.75" customHeight="1">
      <c r="DC1508" s="19"/>
      <c r="DL1508" s="13"/>
    </row>
    <row r="1509" spans="107:116" ht="12.75" customHeight="1">
      <c r="DC1509" s="19"/>
      <c r="DL1509" s="13"/>
    </row>
    <row r="1510" spans="107:116" ht="12.75" customHeight="1">
      <c r="DC1510" s="19"/>
      <c r="DL1510" s="13"/>
    </row>
    <row r="1511" spans="107:116" ht="12.75" customHeight="1">
      <c r="DC1511" s="19"/>
      <c r="DL1511" s="13"/>
    </row>
    <row r="1512" spans="107:116" ht="12.75" customHeight="1">
      <c r="DC1512" s="19"/>
      <c r="DL1512" s="13"/>
    </row>
    <row r="1513" spans="107:116" ht="12.75" customHeight="1">
      <c r="DC1513" s="19"/>
      <c r="DL1513" s="13"/>
    </row>
    <row r="1514" spans="107:116" ht="12.75" customHeight="1">
      <c r="DC1514" s="19"/>
      <c r="DL1514" s="13"/>
    </row>
    <row r="1515" spans="107:116" ht="12.75" customHeight="1">
      <c r="DC1515" s="19"/>
      <c r="DL1515" s="13"/>
    </row>
    <row r="1516" spans="107:116" ht="12.75" customHeight="1">
      <c r="DC1516" s="19"/>
      <c r="DL1516" s="13"/>
    </row>
    <row r="1517" spans="107:116" ht="12.75" customHeight="1">
      <c r="DC1517" s="19"/>
      <c r="DL1517" s="13"/>
    </row>
    <row r="1518" spans="107:116" ht="12.75" customHeight="1">
      <c r="DC1518" s="19"/>
      <c r="DL1518" s="13"/>
    </row>
    <row r="1519" spans="107:116" ht="12.75" customHeight="1">
      <c r="DC1519" s="19"/>
      <c r="DL1519" s="13"/>
    </row>
    <row r="1520" spans="107:116" ht="12.75" customHeight="1">
      <c r="DC1520" s="19"/>
      <c r="DL1520" s="13"/>
    </row>
    <row r="1521" spans="107:116" ht="12.75" customHeight="1">
      <c r="DC1521" s="19"/>
      <c r="DL1521" s="13"/>
    </row>
    <row r="1522" spans="107:116" ht="12.75" customHeight="1">
      <c r="DC1522" s="19"/>
      <c r="DL1522" s="13"/>
    </row>
    <row r="1523" spans="107:116" ht="12.75" customHeight="1">
      <c r="DC1523" s="19"/>
      <c r="DL1523" s="13"/>
    </row>
    <row r="1524" spans="107:116" ht="12.75" customHeight="1">
      <c r="DC1524" s="19"/>
      <c r="DL1524" s="13"/>
    </row>
    <row r="1525" spans="107:116" ht="12.75" customHeight="1">
      <c r="DC1525" s="19"/>
      <c r="DL1525" s="13"/>
    </row>
    <row r="1526" spans="107:116" ht="12.75" customHeight="1">
      <c r="DC1526" s="19"/>
      <c r="DL1526" s="13"/>
    </row>
    <row r="1527" spans="107:116" ht="12.75" customHeight="1">
      <c r="DC1527" s="19"/>
      <c r="DL1527" s="13"/>
    </row>
    <row r="1528" spans="107:116" ht="12.75" customHeight="1">
      <c r="DC1528" s="19"/>
      <c r="DL1528" s="13"/>
    </row>
    <row r="1529" spans="107:116" ht="12.75" customHeight="1">
      <c r="DC1529" s="19"/>
      <c r="DL1529" s="13"/>
    </row>
    <row r="1530" spans="107:116" ht="12.75" customHeight="1">
      <c r="DC1530" s="19"/>
      <c r="DL1530" s="13"/>
    </row>
    <row r="1531" spans="107:116" ht="12.75" customHeight="1">
      <c r="DC1531" s="19"/>
      <c r="DL1531" s="13"/>
    </row>
    <row r="1532" spans="107:116" ht="12.75" customHeight="1">
      <c r="DC1532" s="19"/>
      <c r="DL1532" s="13"/>
    </row>
    <row r="1533" spans="107:116" ht="12.75" customHeight="1">
      <c r="DC1533" s="19"/>
      <c r="DL1533" s="13"/>
    </row>
    <row r="1534" spans="107:116" ht="12.75" customHeight="1">
      <c r="DC1534" s="19"/>
      <c r="DL1534" s="13"/>
    </row>
    <row r="1535" spans="107:116" ht="12.75" customHeight="1">
      <c r="DC1535" s="19"/>
      <c r="DL1535" s="13"/>
    </row>
    <row r="1536" spans="107:116" ht="12.75" customHeight="1">
      <c r="DC1536" s="19"/>
      <c r="DL1536" s="13"/>
    </row>
    <row r="1537" spans="107:116" ht="12.75" customHeight="1">
      <c r="DC1537" s="19"/>
      <c r="DL1537" s="13"/>
    </row>
    <row r="1538" spans="107:116" ht="12.75" customHeight="1">
      <c r="DC1538" s="19"/>
      <c r="DL1538" s="13"/>
    </row>
    <row r="1539" spans="107:116" ht="12.75" customHeight="1">
      <c r="DC1539" s="19"/>
      <c r="DL1539" s="13"/>
    </row>
    <row r="1540" spans="107:116" ht="12.75" customHeight="1">
      <c r="DC1540" s="19"/>
      <c r="DL1540" s="13"/>
    </row>
    <row r="1541" spans="107:116" ht="12.75" customHeight="1">
      <c r="DC1541" s="19"/>
      <c r="DL1541" s="13"/>
    </row>
    <row r="1542" spans="107:116" ht="12.75" customHeight="1">
      <c r="DC1542" s="19"/>
      <c r="DL1542" s="13"/>
    </row>
    <row r="1543" spans="107:116" ht="12.75" customHeight="1">
      <c r="DC1543" s="19"/>
      <c r="DL1543" s="13"/>
    </row>
    <row r="1544" spans="107:116" ht="12.75" customHeight="1">
      <c r="DC1544" s="19"/>
      <c r="DL1544" s="13"/>
    </row>
    <row r="1545" spans="107:116" ht="12.75" customHeight="1">
      <c r="DC1545" s="19"/>
      <c r="DL1545" s="13"/>
    </row>
    <row r="1546" spans="107:116" ht="12.75" customHeight="1">
      <c r="DC1546" s="19"/>
      <c r="DL1546" s="13"/>
    </row>
    <row r="1547" spans="107:116" ht="12.75" customHeight="1">
      <c r="DC1547" s="19"/>
      <c r="DL1547" s="13"/>
    </row>
    <row r="1548" spans="107:116" ht="12.75" customHeight="1">
      <c r="DC1548" s="19"/>
      <c r="DL1548" s="13"/>
    </row>
    <row r="1549" spans="107:116" ht="12.75" customHeight="1">
      <c r="DC1549" s="19"/>
      <c r="DL1549" s="13"/>
    </row>
    <row r="1550" spans="107:116" ht="12.75" customHeight="1">
      <c r="DC1550" s="19"/>
      <c r="DL1550" s="13"/>
    </row>
    <row r="1551" spans="107:116" ht="12.75" customHeight="1">
      <c r="DC1551" s="19"/>
      <c r="DL1551" s="13"/>
    </row>
    <row r="1552" spans="107:116" ht="12.75" customHeight="1">
      <c r="DC1552" s="19"/>
      <c r="DL1552" s="13"/>
    </row>
    <row r="1553" spans="107:116" ht="12.75" customHeight="1">
      <c r="DC1553" s="19"/>
      <c r="DL1553" s="13"/>
    </row>
    <row r="1554" spans="107:116" ht="12.75" customHeight="1">
      <c r="DC1554" s="19"/>
      <c r="DL1554" s="13"/>
    </row>
    <row r="1555" spans="107:116" ht="12.75" customHeight="1">
      <c r="DC1555" s="19"/>
      <c r="DL1555" s="13"/>
    </row>
    <row r="1556" spans="107:116" ht="12.75" customHeight="1">
      <c r="DC1556" s="19"/>
      <c r="DL1556" s="13"/>
    </row>
    <row r="1557" spans="107:116" ht="12.75" customHeight="1">
      <c r="DC1557" s="19"/>
      <c r="DL1557" s="13"/>
    </row>
    <row r="1558" spans="107:116" ht="12.75" customHeight="1">
      <c r="DC1558" s="19"/>
      <c r="DL1558" s="13"/>
    </row>
    <row r="1559" spans="107:116" ht="12.75" customHeight="1">
      <c r="DC1559" s="19"/>
      <c r="DL1559" s="13"/>
    </row>
    <row r="1560" spans="107:116" ht="12.75" customHeight="1">
      <c r="DC1560" s="19"/>
      <c r="DL1560" s="13"/>
    </row>
    <row r="1561" spans="107:116" ht="12.75" customHeight="1">
      <c r="DC1561" s="19"/>
      <c r="DL1561" s="13"/>
    </row>
    <row r="1562" spans="107:116" ht="12.75" customHeight="1">
      <c r="DC1562" s="19"/>
      <c r="DL1562" s="13"/>
    </row>
    <row r="1563" spans="107:116" ht="12.75" customHeight="1">
      <c r="DC1563" s="19"/>
      <c r="DL1563" s="13"/>
    </row>
    <row r="1564" spans="107:116" ht="12.75" customHeight="1">
      <c r="DC1564" s="19"/>
      <c r="DL1564" s="13"/>
    </row>
    <row r="1565" spans="107:116" ht="12.75" customHeight="1">
      <c r="DC1565" s="19"/>
      <c r="DL1565" s="13"/>
    </row>
    <row r="1566" spans="107:116" ht="12.75" customHeight="1">
      <c r="DC1566" s="19"/>
      <c r="DL1566" s="13"/>
    </row>
    <row r="1567" spans="107:116" ht="12.75" customHeight="1">
      <c r="DC1567" s="19"/>
      <c r="DL1567" s="13"/>
    </row>
    <row r="1568" spans="107:116" ht="12.75" customHeight="1">
      <c r="DC1568" s="19"/>
      <c r="DL1568" s="13"/>
    </row>
    <row r="1569" spans="107:116" ht="12.75" customHeight="1">
      <c r="DC1569" s="19"/>
      <c r="DL1569" s="13"/>
    </row>
    <row r="1570" spans="107:116" ht="12.75" customHeight="1">
      <c r="DC1570" s="19"/>
      <c r="DL1570" s="13"/>
    </row>
    <row r="1571" spans="107:116" ht="12.75" customHeight="1">
      <c r="DC1571" s="19"/>
      <c r="DL1571" s="13"/>
    </row>
    <row r="1572" spans="107:116" ht="12.75" customHeight="1">
      <c r="DC1572" s="19"/>
      <c r="DL1572" s="13"/>
    </row>
    <row r="1573" spans="107:116" ht="12.75" customHeight="1">
      <c r="DC1573" s="19"/>
      <c r="DL1573" s="13"/>
    </row>
    <row r="1574" spans="107:116" ht="12.75" customHeight="1">
      <c r="DC1574" s="19"/>
      <c r="DL1574" s="13"/>
    </row>
    <row r="1575" spans="107:116" ht="12.75" customHeight="1">
      <c r="DC1575" s="19"/>
      <c r="DL1575" s="13"/>
    </row>
    <row r="1576" spans="107:116" ht="12.75" customHeight="1">
      <c r="DC1576" s="19"/>
      <c r="DL1576" s="13"/>
    </row>
    <row r="1577" spans="107:116" ht="12.75" customHeight="1">
      <c r="DC1577" s="19"/>
      <c r="DL1577" s="13"/>
    </row>
    <row r="1578" spans="107:116" ht="12.75" customHeight="1">
      <c r="DC1578" s="19"/>
      <c r="DL1578" s="13"/>
    </row>
    <row r="1579" spans="107:116" ht="12.75" customHeight="1">
      <c r="DC1579" s="19"/>
      <c r="DL1579" s="13"/>
    </row>
    <row r="1580" spans="107:116" ht="12.75" customHeight="1">
      <c r="DC1580" s="19"/>
      <c r="DL1580" s="13"/>
    </row>
    <row r="1581" spans="107:116" ht="12.75" customHeight="1">
      <c r="DC1581" s="19"/>
      <c r="DL1581" s="13"/>
    </row>
    <row r="1582" spans="107:116" ht="12.75" customHeight="1">
      <c r="DC1582" s="19"/>
      <c r="DL1582" s="13"/>
    </row>
    <row r="1583" spans="107:116" ht="12.75" customHeight="1">
      <c r="DC1583" s="19"/>
      <c r="DL1583" s="13"/>
    </row>
    <row r="1584" spans="107:116" ht="12.75" customHeight="1">
      <c r="DC1584" s="19"/>
      <c r="DL1584" s="13"/>
    </row>
    <row r="1585" spans="107:116" ht="12.75" customHeight="1">
      <c r="DC1585" s="19"/>
      <c r="DL1585" s="13"/>
    </row>
    <row r="1586" spans="107:116" ht="12.75" customHeight="1">
      <c r="DC1586" s="19"/>
      <c r="DL1586" s="13"/>
    </row>
    <row r="1587" spans="107:116" ht="12.75" customHeight="1">
      <c r="DC1587" s="19"/>
      <c r="DL1587" s="13"/>
    </row>
    <row r="1588" spans="107:116" ht="12.75" customHeight="1">
      <c r="DC1588" s="19"/>
      <c r="DL1588" s="13"/>
    </row>
    <row r="1589" spans="107:116" ht="12.75" customHeight="1">
      <c r="DC1589" s="19"/>
      <c r="DL1589" s="13"/>
    </row>
    <row r="1590" spans="107:116" ht="12.75" customHeight="1">
      <c r="DC1590" s="19"/>
      <c r="DL1590" s="13"/>
    </row>
    <row r="1591" spans="107:116" ht="12.75" customHeight="1">
      <c r="DC1591" s="19"/>
      <c r="DL1591" s="13"/>
    </row>
    <row r="1592" spans="107:116" ht="12.75" customHeight="1">
      <c r="DC1592" s="19"/>
      <c r="DL1592" s="13"/>
    </row>
    <row r="1593" spans="107:116" ht="12.75" customHeight="1">
      <c r="DC1593" s="19"/>
      <c r="DL1593" s="13"/>
    </row>
    <row r="1594" spans="107:116" ht="12.75" customHeight="1">
      <c r="DC1594" s="19"/>
      <c r="DL1594" s="13"/>
    </row>
    <row r="1595" spans="107:116" ht="12.75" customHeight="1">
      <c r="DC1595" s="19"/>
      <c r="DL1595" s="13"/>
    </row>
    <row r="1596" spans="107:116" ht="12.75" customHeight="1">
      <c r="DC1596" s="19"/>
      <c r="DL1596" s="13"/>
    </row>
    <row r="1597" spans="107:116" ht="12.75" customHeight="1">
      <c r="DC1597" s="19"/>
      <c r="DL1597" s="13"/>
    </row>
    <row r="1598" spans="107:116" ht="12.75" customHeight="1">
      <c r="DC1598" s="19"/>
      <c r="DL1598" s="13"/>
    </row>
    <row r="1599" spans="107:116" ht="12.75" customHeight="1">
      <c r="DC1599" s="19"/>
      <c r="DL1599" s="13"/>
    </row>
    <row r="1600" spans="107:116" ht="12.75" customHeight="1">
      <c r="DC1600" s="19"/>
      <c r="DL1600" s="13"/>
    </row>
    <row r="1601" spans="107:116" ht="12.75" customHeight="1">
      <c r="DC1601" s="19"/>
      <c r="DL1601" s="13"/>
    </row>
    <row r="1602" spans="107:116" ht="12.75" customHeight="1">
      <c r="DC1602" s="19"/>
      <c r="DL1602" s="13"/>
    </row>
    <row r="1603" spans="107:116" ht="12.75" customHeight="1">
      <c r="DC1603" s="19"/>
      <c r="DL1603" s="13"/>
    </row>
    <row r="1604" spans="107:116" ht="12.75" customHeight="1">
      <c r="DC1604" s="19"/>
      <c r="DL1604" s="13"/>
    </row>
    <row r="1605" spans="107:116" ht="12.75" customHeight="1">
      <c r="DC1605" s="19"/>
      <c r="DL1605" s="13"/>
    </row>
    <row r="1606" spans="107:116" ht="12.75" customHeight="1">
      <c r="DC1606" s="19"/>
      <c r="DL1606" s="13"/>
    </row>
    <row r="1607" spans="107:116" ht="12.75" customHeight="1">
      <c r="DC1607" s="19"/>
      <c r="DL1607" s="13"/>
    </row>
    <row r="1608" spans="107:116" ht="12.75" customHeight="1">
      <c r="DC1608" s="19"/>
      <c r="DL1608" s="13"/>
    </row>
    <row r="1609" spans="107:116" ht="12.75" customHeight="1">
      <c r="DC1609" s="19"/>
      <c r="DL1609" s="13"/>
    </row>
    <row r="1610" spans="107:116" ht="12.75" customHeight="1">
      <c r="DC1610" s="19"/>
      <c r="DL1610" s="13"/>
    </row>
    <row r="1611" spans="107:116" ht="12.75" customHeight="1">
      <c r="DC1611" s="19"/>
      <c r="DL1611" s="13"/>
    </row>
    <row r="1612" spans="107:116" ht="12.75" customHeight="1">
      <c r="DC1612" s="19"/>
      <c r="DL1612" s="13"/>
    </row>
    <row r="1613" spans="107:116" ht="12.75" customHeight="1">
      <c r="DC1613" s="19"/>
      <c r="DL1613" s="13"/>
    </row>
    <row r="1614" spans="107:116" ht="12.75" customHeight="1">
      <c r="DC1614" s="19"/>
      <c r="DL1614" s="13"/>
    </row>
    <row r="1615" spans="107:116" ht="12.75" customHeight="1">
      <c r="DC1615" s="19"/>
      <c r="DL1615" s="13"/>
    </row>
    <row r="1616" spans="107:116" ht="12.75" customHeight="1">
      <c r="DC1616" s="19"/>
      <c r="DL1616" s="13"/>
    </row>
    <row r="1617" spans="107:116" ht="12.75" customHeight="1">
      <c r="DC1617" s="19"/>
      <c r="DL1617" s="13"/>
    </row>
    <row r="1618" spans="107:116" ht="12.75" customHeight="1">
      <c r="DC1618" s="19"/>
      <c r="DL1618" s="13"/>
    </row>
    <row r="1619" spans="107:116" ht="12.75" customHeight="1">
      <c r="DC1619" s="19"/>
      <c r="DL1619" s="13"/>
    </row>
    <row r="1620" spans="107:116" ht="12.75" customHeight="1">
      <c r="DC1620" s="19"/>
      <c r="DL1620" s="13"/>
    </row>
    <row r="1621" spans="107:116" ht="12.75" customHeight="1">
      <c r="DC1621" s="19"/>
      <c r="DL1621" s="13"/>
    </row>
    <row r="1622" spans="107:116" ht="12.75" customHeight="1">
      <c r="DC1622" s="19"/>
      <c r="DL1622" s="13"/>
    </row>
    <row r="1623" spans="107:116" ht="12.75" customHeight="1">
      <c r="DC1623" s="19"/>
      <c r="DL1623" s="13"/>
    </row>
    <row r="1624" spans="107:116" ht="12.75" customHeight="1">
      <c r="DC1624" s="19"/>
      <c r="DL1624" s="13"/>
    </row>
    <row r="1625" spans="107:116" ht="12.75" customHeight="1">
      <c r="DC1625" s="19"/>
      <c r="DL1625" s="13"/>
    </row>
    <row r="1626" spans="107:116" ht="12.75" customHeight="1">
      <c r="DC1626" s="19"/>
      <c r="DL1626" s="13"/>
    </row>
    <row r="1627" spans="107:116" ht="12.75" customHeight="1">
      <c r="DC1627" s="19"/>
      <c r="DL1627" s="13"/>
    </row>
    <row r="1628" spans="107:116" ht="12.75" customHeight="1">
      <c r="DC1628" s="19"/>
      <c r="DL1628" s="13"/>
    </row>
    <row r="1629" spans="107:116" ht="12.75" customHeight="1">
      <c r="DC1629" s="19"/>
      <c r="DL1629" s="13"/>
    </row>
    <row r="1630" spans="107:116" ht="12.75" customHeight="1">
      <c r="DC1630" s="19"/>
      <c r="DL1630" s="13"/>
    </row>
    <row r="1631" spans="107:116" ht="12.75" customHeight="1">
      <c r="DC1631" s="19"/>
      <c r="DL1631" s="13"/>
    </row>
    <row r="1632" spans="107:116" ht="12.75" customHeight="1">
      <c r="DC1632" s="19"/>
      <c r="DL1632" s="13"/>
    </row>
    <row r="1633" spans="107:116" ht="12.75" customHeight="1">
      <c r="DC1633" s="19"/>
      <c r="DL1633" s="13"/>
    </row>
    <row r="1634" spans="107:116" ht="12.75" customHeight="1">
      <c r="DC1634" s="19"/>
      <c r="DL1634" s="13"/>
    </row>
    <row r="1635" spans="107:116" ht="12.75" customHeight="1">
      <c r="DC1635" s="19"/>
      <c r="DL1635" s="13"/>
    </row>
    <row r="1636" spans="107:116" ht="12.75" customHeight="1">
      <c r="DC1636" s="19"/>
      <c r="DL1636" s="13"/>
    </row>
    <row r="1637" spans="107:116" ht="12.75" customHeight="1">
      <c r="DC1637" s="19"/>
      <c r="DL1637" s="13"/>
    </row>
    <row r="1638" spans="107:116" ht="12.75" customHeight="1">
      <c r="DC1638" s="19"/>
      <c r="DL1638" s="13"/>
    </row>
    <row r="1639" spans="107:116" ht="12.75" customHeight="1">
      <c r="DC1639" s="19"/>
      <c r="DL1639" s="13"/>
    </row>
    <row r="1640" spans="107:116" ht="12.75" customHeight="1">
      <c r="DC1640" s="19"/>
      <c r="DL1640" s="13"/>
    </row>
    <row r="1641" spans="107:116" ht="12.75" customHeight="1">
      <c r="DC1641" s="19"/>
      <c r="DL1641" s="13"/>
    </row>
    <row r="1642" spans="107:116" ht="12.75" customHeight="1">
      <c r="DC1642" s="19"/>
      <c r="DL1642" s="13"/>
    </row>
    <row r="1643" spans="107:116" ht="12.75" customHeight="1">
      <c r="DC1643" s="19"/>
      <c r="DL1643" s="13"/>
    </row>
    <row r="1644" spans="107:116" ht="12.75" customHeight="1">
      <c r="DC1644" s="19"/>
      <c r="DL1644" s="13"/>
    </row>
    <row r="1645" spans="107:116" ht="12.75" customHeight="1">
      <c r="DC1645" s="19"/>
      <c r="DL1645" s="13"/>
    </row>
    <row r="1646" spans="107:116" ht="12.75" customHeight="1">
      <c r="DC1646" s="19"/>
      <c r="DL1646" s="13"/>
    </row>
    <row r="1647" spans="107:116" ht="12.75" customHeight="1">
      <c r="DC1647" s="19"/>
      <c r="DL1647" s="13"/>
    </row>
    <row r="1648" spans="107:116" ht="12.75" customHeight="1">
      <c r="DC1648" s="19"/>
      <c r="DL1648" s="13"/>
    </row>
    <row r="1649" spans="107:116" ht="12.75" customHeight="1">
      <c r="DC1649" s="19"/>
      <c r="DL1649" s="13"/>
    </row>
    <row r="1650" spans="107:116" ht="12.75" customHeight="1">
      <c r="DC1650" s="19"/>
      <c r="DL1650" s="13"/>
    </row>
    <row r="1651" spans="107:116" ht="12.75" customHeight="1">
      <c r="DC1651" s="19"/>
      <c r="DL1651" s="13"/>
    </row>
    <row r="1652" spans="107:116" ht="12.75" customHeight="1">
      <c r="DC1652" s="19"/>
      <c r="DL1652" s="13"/>
    </row>
    <row r="1653" spans="107:116" ht="12.75" customHeight="1">
      <c r="DC1653" s="19"/>
      <c r="DL1653" s="13"/>
    </row>
    <row r="1654" spans="107:116" ht="12.75" customHeight="1">
      <c r="DC1654" s="19"/>
      <c r="DL1654" s="13"/>
    </row>
    <row r="1655" spans="107:116" ht="12.75" customHeight="1">
      <c r="DC1655" s="19"/>
      <c r="DL1655" s="13"/>
    </row>
    <row r="1656" spans="107:116" ht="12.75" customHeight="1">
      <c r="DC1656" s="19"/>
      <c r="DL1656" s="13"/>
    </row>
    <row r="1657" spans="107:116" ht="12.75" customHeight="1">
      <c r="DC1657" s="19"/>
      <c r="DL1657" s="13"/>
    </row>
    <row r="1658" spans="107:116" ht="12.75" customHeight="1">
      <c r="DC1658" s="19"/>
      <c r="DL1658" s="13"/>
    </row>
    <row r="1659" spans="107:116" ht="12.75" customHeight="1">
      <c r="DC1659" s="19"/>
      <c r="DL1659" s="13"/>
    </row>
    <row r="1660" spans="107:116" ht="12.75" customHeight="1">
      <c r="DC1660" s="19"/>
      <c r="DL1660" s="13"/>
    </row>
    <row r="1661" spans="107:116" ht="12.75" customHeight="1">
      <c r="DC1661" s="19"/>
      <c r="DL1661" s="13"/>
    </row>
    <row r="1662" spans="107:116" ht="12.75" customHeight="1">
      <c r="DC1662" s="19"/>
      <c r="DL1662" s="13"/>
    </row>
    <row r="1663" spans="107:116" ht="12.75" customHeight="1">
      <c r="DC1663" s="19"/>
      <c r="DL1663" s="13"/>
    </row>
    <row r="1664" spans="107:116" ht="12.75" customHeight="1">
      <c r="DC1664" s="19"/>
      <c r="DL1664" s="13"/>
    </row>
    <row r="1665" spans="107:116" ht="12.75" customHeight="1">
      <c r="DC1665" s="19"/>
      <c r="DL1665" s="13"/>
    </row>
    <row r="1666" spans="107:116" ht="12.75" customHeight="1">
      <c r="DC1666" s="19"/>
      <c r="DL1666" s="13"/>
    </row>
    <row r="1667" spans="107:116" ht="12.75" customHeight="1">
      <c r="DC1667" s="19"/>
      <c r="DL1667" s="13"/>
    </row>
    <row r="1668" spans="107:116" ht="12.75" customHeight="1">
      <c r="DC1668" s="19"/>
      <c r="DL1668" s="13"/>
    </row>
    <row r="1669" spans="107:116" ht="12.75" customHeight="1">
      <c r="DC1669" s="19"/>
      <c r="DL1669" s="13"/>
    </row>
    <row r="1670" spans="107:116" ht="12.75" customHeight="1">
      <c r="DC1670" s="19"/>
      <c r="DL1670" s="13"/>
    </row>
    <row r="1671" spans="107:116" ht="12.75" customHeight="1">
      <c r="DC1671" s="19"/>
      <c r="DL1671" s="13"/>
    </row>
    <row r="1672" spans="107:116" ht="12.75" customHeight="1">
      <c r="DC1672" s="19"/>
      <c r="DL1672" s="13"/>
    </row>
    <row r="1673" spans="107:116" ht="12.75" customHeight="1">
      <c r="DC1673" s="19"/>
      <c r="DL1673" s="13"/>
    </row>
    <row r="1674" spans="107:116" ht="12.75" customHeight="1">
      <c r="DC1674" s="19"/>
      <c r="DL1674" s="13"/>
    </row>
    <row r="1675" spans="107:116" ht="12.75" customHeight="1">
      <c r="DC1675" s="19"/>
      <c r="DL1675" s="13"/>
    </row>
    <row r="1676" spans="107:116" ht="12.75" customHeight="1">
      <c r="DC1676" s="19"/>
      <c r="DL1676" s="13"/>
    </row>
    <row r="1677" spans="107:116" ht="12.75" customHeight="1">
      <c r="DC1677" s="19"/>
      <c r="DL1677" s="13"/>
    </row>
    <row r="1678" spans="107:116" ht="12.75" customHeight="1">
      <c r="DC1678" s="19"/>
      <c r="DL1678" s="13"/>
    </row>
    <row r="1679" spans="107:116" ht="12.75" customHeight="1">
      <c r="DC1679" s="19"/>
      <c r="DL1679" s="13"/>
    </row>
    <row r="1680" spans="107:116" ht="12.75" customHeight="1">
      <c r="DC1680" s="19"/>
      <c r="DL1680" s="13"/>
    </row>
    <row r="1681" spans="107:116" ht="12.75" customHeight="1">
      <c r="DC1681" s="19"/>
      <c r="DL1681" s="13"/>
    </row>
    <row r="1682" spans="107:116" ht="12.75" customHeight="1">
      <c r="DC1682" s="19"/>
      <c r="DL1682" s="13"/>
    </row>
    <row r="1683" spans="107:116" ht="12.75" customHeight="1">
      <c r="DC1683" s="19"/>
      <c r="DL1683" s="13"/>
    </row>
    <row r="1684" spans="107:116" ht="12.75" customHeight="1">
      <c r="DC1684" s="19"/>
      <c r="DL1684" s="13"/>
    </row>
    <row r="1685" spans="107:116" ht="12.75" customHeight="1">
      <c r="DC1685" s="19"/>
      <c r="DL1685" s="13"/>
    </row>
    <row r="1686" spans="107:116" ht="12.75" customHeight="1">
      <c r="DC1686" s="19"/>
      <c r="DL1686" s="13"/>
    </row>
    <row r="1687" spans="107:116" ht="12.75" customHeight="1">
      <c r="DC1687" s="19"/>
      <c r="DL1687" s="13"/>
    </row>
    <row r="1688" spans="107:116" ht="12.75" customHeight="1">
      <c r="DC1688" s="19"/>
      <c r="DL1688" s="13"/>
    </row>
    <row r="1689" spans="107:116" ht="12.75" customHeight="1">
      <c r="DC1689" s="19"/>
      <c r="DL1689" s="13"/>
    </row>
    <row r="1690" spans="107:116" ht="12.75" customHeight="1">
      <c r="DC1690" s="19"/>
      <c r="DL1690" s="13"/>
    </row>
    <row r="1691" spans="107:116" ht="12.75" customHeight="1">
      <c r="DC1691" s="19"/>
      <c r="DL1691" s="13"/>
    </row>
    <row r="1692" spans="107:116" ht="12.75" customHeight="1">
      <c r="DC1692" s="19"/>
      <c r="DL1692" s="13"/>
    </row>
    <row r="1693" spans="107:116" ht="12.75" customHeight="1">
      <c r="DC1693" s="19"/>
      <c r="DL1693" s="13"/>
    </row>
    <row r="1694" spans="107:116" ht="12.75" customHeight="1">
      <c r="DC1694" s="19"/>
      <c r="DL1694" s="13"/>
    </row>
    <row r="1695" spans="107:116" ht="12.75" customHeight="1">
      <c r="DC1695" s="19"/>
      <c r="DL1695" s="13"/>
    </row>
    <row r="1696" spans="107:116" ht="12.75" customHeight="1">
      <c r="DC1696" s="19"/>
      <c r="DL1696" s="13"/>
    </row>
    <row r="1697" spans="101:116" ht="12.75" customHeight="1">
      <c r="DC1697" s="19"/>
      <c r="DL1697" s="13"/>
    </row>
    <row r="1698" spans="101:116" ht="12.75" customHeight="1">
      <c r="DC1698" s="19"/>
      <c r="DL1698" s="13"/>
    </row>
    <row r="1699" spans="101:116" ht="12.75" customHeight="1">
      <c r="DC1699" s="19"/>
      <c r="DL1699" s="13"/>
    </row>
    <row r="1700" spans="101:116" ht="12.75" customHeight="1">
      <c r="DC1700" s="19"/>
      <c r="DL1700" s="13"/>
    </row>
    <row r="1701" spans="101:116" ht="12.75" customHeight="1">
      <c r="DC1701" s="19"/>
      <c r="DL1701" s="13"/>
    </row>
    <row r="1702" spans="101:116" ht="12.75" customHeight="1">
      <c r="DC1702" s="19"/>
      <c r="DL1702" s="13"/>
    </row>
    <row r="1703" spans="101:116" ht="12.75" customHeight="1">
      <c r="DC1703" s="19"/>
      <c r="DL1703" s="13"/>
    </row>
    <row r="1704" spans="101:116" ht="12.75" customHeight="1">
      <c r="DC1704" s="19"/>
      <c r="DL1704" s="13"/>
    </row>
    <row r="1705" spans="101:116" ht="12.75" customHeight="1">
      <c r="DC1705" s="19"/>
      <c r="DL1705" s="13"/>
    </row>
    <row r="1706" spans="101:116" ht="12.75" customHeight="1">
      <c r="CW1706" s="1"/>
      <c r="CX1706" s="1"/>
      <c r="DC1706" s="19"/>
      <c r="DL1706" s="13"/>
    </row>
    <row r="1707" spans="101:116" ht="12.75" customHeight="1">
      <c r="CW1707" s="1"/>
      <c r="CX1707" s="1"/>
      <c r="DC1707" s="19"/>
      <c r="DL1707" s="13"/>
    </row>
    <row r="1708" spans="101:116" ht="12.75" customHeight="1">
      <c r="CW1708" s="1"/>
      <c r="CX1708" s="1"/>
      <c r="DC1708" s="19"/>
      <c r="DL1708" s="13"/>
    </row>
    <row r="1709" spans="101:116" ht="12.75" customHeight="1">
      <c r="CW1709" s="1"/>
      <c r="CX1709" s="1"/>
      <c r="DC1709" s="19"/>
      <c r="DL1709" s="13"/>
    </row>
    <row r="1710" spans="101:116" ht="12.75" customHeight="1">
      <c r="CW1710" s="1"/>
      <c r="CX1710" s="1"/>
      <c r="DC1710" s="19"/>
      <c r="DL1710" s="13"/>
    </row>
    <row r="1711" spans="101:116" ht="12.75" customHeight="1">
      <c r="CW1711" s="1"/>
      <c r="CX1711" s="1"/>
      <c r="DC1711" s="19"/>
      <c r="DL1711" s="13"/>
    </row>
    <row r="1712" spans="101:116" ht="12.75" customHeight="1">
      <c r="CW1712" s="1"/>
      <c r="CX1712" s="1"/>
      <c r="DC1712" s="19"/>
      <c r="DL1712" s="13"/>
    </row>
    <row r="1713" spans="101:116" ht="12.75" customHeight="1">
      <c r="CW1713" s="1"/>
      <c r="CX1713" s="1"/>
      <c r="DC1713" s="19"/>
      <c r="DL1713" s="13"/>
    </row>
    <row r="1714" spans="101:116" ht="12.75" customHeight="1">
      <c r="CW1714" s="1"/>
      <c r="CX1714" s="1"/>
      <c r="DC1714" s="19"/>
      <c r="DL1714" s="13"/>
    </row>
    <row r="1715" spans="101:116" ht="12.75" customHeight="1">
      <c r="CW1715" s="1"/>
      <c r="CX1715" s="1"/>
      <c r="DC1715" s="19"/>
      <c r="DL1715" s="13"/>
    </row>
    <row r="1716" spans="101:116" ht="12.75" customHeight="1">
      <c r="CW1716" s="1"/>
      <c r="CX1716" s="1"/>
      <c r="DC1716" s="19"/>
      <c r="DL1716" s="13"/>
    </row>
    <row r="1717" spans="101:116" ht="12.75" customHeight="1">
      <c r="CW1717" s="1"/>
      <c r="CX1717" s="1"/>
      <c r="DC1717" s="19"/>
      <c r="DL1717" s="13"/>
    </row>
    <row r="1718" spans="101:116" ht="12.75" customHeight="1">
      <c r="CW1718" s="1"/>
      <c r="CX1718" s="1"/>
      <c r="DC1718" s="19"/>
      <c r="DL1718" s="13"/>
    </row>
    <row r="1719" spans="101:116" ht="12.75" customHeight="1">
      <c r="CW1719" s="1"/>
      <c r="CX1719" s="1"/>
      <c r="DC1719" s="19"/>
      <c r="DL1719" s="13"/>
    </row>
    <row r="1720" spans="101:116" ht="12.75" customHeight="1">
      <c r="CW1720" s="1"/>
      <c r="CX1720" s="1"/>
      <c r="DC1720" s="19"/>
      <c r="DL1720" s="13"/>
    </row>
    <row r="1721" spans="101:116" ht="12.75" customHeight="1">
      <c r="CW1721" s="1"/>
      <c r="CX1721" s="1"/>
      <c r="DC1721" s="19"/>
      <c r="DL1721" s="13"/>
    </row>
    <row r="1722" spans="101:116" ht="12.75" customHeight="1">
      <c r="CW1722" s="1"/>
      <c r="CX1722" s="1"/>
      <c r="DC1722" s="19"/>
      <c r="DL1722" s="13"/>
    </row>
    <row r="1723" spans="101:116" ht="12.75" customHeight="1">
      <c r="CW1723" s="1"/>
      <c r="CX1723" s="1"/>
      <c r="DC1723" s="19"/>
      <c r="DL1723" s="13"/>
    </row>
    <row r="1724" spans="101:116" ht="12.75" customHeight="1">
      <c r="CW1724" s="1"/>
      <c r="CX1724" s="1"/>
      <c r="DC1724" s="19"/>
      <c r="DL1724" s="13"/>
    </row>
    <row r="1725" spans="101:116" ht="12.75" customHeight="1">
      <c r="CW1725" s="1"/>
      <c r="CX1725" s="1"/>
      <c r="DC1725" s="19"/>
      <c r="DL1725" s="13"/>
    </row>
    <row r="1726" spans="101:116" ht="12.75" customHeight="1">
      <c r="CW1726" s="1"/>
      <c r="CX1726" s="1"/>
      <c r="DC1726" s="19"/>
      <c r="DL1726" s="13"/>
    </row>
    <row r="1727" spans="101:116" ht="12.75" customHeight="1">
      <c r="CW1727" s="1"/>
      <c r="CX1727" s="1"/>
      <c r="DC1727" s="19"/>
      <c r="DL1727" s="13"/>
    </row>
    <row r="1728" spans="101:116" ht="12.75" customHeight="1">
      <c r="CW1728" s="1"/>
      <c r="CX1728" s="1"/>
      <c r="DC1728" s="19"/>
      <c r="DL1728" s="13"/>
    </row>
    <row r="1729" spans="101:116" ht="12.75" customHeight="1">
      <c r="CW1729" s="1"/>
      <c r="CX1729" s="1"/>
      <c r="DC1729" s="19"/>
      <c r="DL1729" s="13"/>
    </row>
    <row r="1730" spans="101:116" ht="12.75" customHeight="1">
      <c r="CW1730" s="1"/>
      <c r="CX1730" s="1"/>
      <c r="DC1730" s="19"/>
      <c r="DL1730" s="13"/>
    </row>
    <row r="1731" spans="101:116" ht="12.75" customHeight="1">
      <c r="CW1731" s="1"/>
      <c r="CX1731" s="1"/>
      <c r="DC1731" s="19"/>
      <c r="DL1731" s="13"/>
    </row>
    <row r="1732" spans="101:116" ht="12.75" customHeight="1">
      <c r="CW1732" s="1"/>
      <c r="CX1732" s="1"/>
      <c r="DC1732" s="19"/>
      <c r="DL1732" s="13"/>
    </row>
    <row r="1733" spans="101:116" ht="12.75" customHeight="1">
      <c r="CW1733" s="1"/>
      <c r="CX1733" s="1"/>
      <c r="DC1733" s="19"/>
      <c r="DL1733" s="13"/>
    </row>
    <row r="1734" spans="101:116" ht="12.75" customHeight="1">
      <c r="CW1734" s="1"/>
      <c r="CX1734" s="1"/>
      <c r="DC1734" s="19"/>
      <c r="DL1734" s="13"/>
    </row>
    <row r="1735" spans="101:116" ht="12.75" customHeight="1">
      <c r="CW1735" s="1"/>
      <c r="CX1735" s="1"/>
      <c r="DC1735" s="19"/>
      <c r="DL1735" s="13"/>
    </row>
    <row r="1736" spans="101:116" ht="12.75" customHeight="1">
      <c r="CW1736" s="1"/>
      <c r="CX1736" s="1"/>
      <c r="DC1736" s="19"/>
      <c r="DL1736" s="13"/>
    </row>
    <row r="1737" spans="101:116" ht="12.75" customHeight="1">
      <c r="CW1737" s="1"/>
      <c r="CX1737" s="1"/>
      <c r="DC1737" s="19"/>
      <c r="DL1737" s="13"/>
    </row>
    <row r="1738" spans="101:116" ht="12.75" customHeight="1">
      <c r="DC1738" s="19"/>
      <c r="DL1738" s="13"/>
    </row>
    <row r="1739" spans="101:116" ht="12.75" customHeight="1">
      <c r="DC1739" s="19"/>
      <c r="DL1739" s="13"/>
    </row>
    <row r="1740" spans="101:116" ht="12.75" customHeight="1">
      <c r="DC1740" s="19"/>
      <c r="DL1740" s="13"/>
    </row>
    <row r="1741" spans="101:116" ht="12.75" customHeight="1">
      <c r="DC1741" s="19"/>
      <c r="DL1741" s="13"/>
    </row>
    <row r="1742" spans="101:116" ht="12.75" customHeight="1">
      <c r="DC1742" s="19"/>
      <c r="DL1742" s="13"/>
    </row>
    <row r="1743" spans="101:116" ht="12.75" customHeight="1">
      <c r="DC1743" s="19"/>
      <c r="DL1743" s="13"/>
    </row>
    <row r="1744" spans="101:116" ht="12.75" customHeight="1">
      <c r="DC1744" s="19"/>
      <c r="DL1744" s="13"/>
    </row>
    <row r="1745" spans="107:116" ht="12.75" customHeight="1">
      <c r="DC1745" s="19"/>
      <c r="DL1745" s="13"/>
    </row>
    <row r="1746" spans="107:116" ht="12.75" customHeight="1">
      <c r="DC1746" s="19"/>
      <c r="DL1746" s="13"/>
    </row>
    <row r="1747" spans="107:116" ht="12.75" customHeight="1">
      <c r="DC1747" s="19"/>
      <c r="DL1747" s="13"/>
    </row>
    <row r="1748" spans="107:116" ht="12.75" customHeight="1">
      <c r="DC1748" s="19"/>
      <c r="DL1748" s="13"/>
    </row>
    <row r="1749" spans="107:116" ht="12.75" customHeight="1">
      <c r="DC1749" s="19"/>
      <c r="DL1749" s="13"/>
    </row>
    <row r="1750" spans="107:116" ht="12.75" customHeight="1">
      <c r="DC1750" s="19"/>
      <c r="DL1750" s="13"/>
    </row>
    <row r="1751" spans="107:116" ht="12.75" customHeight="1">
      <c r="DC1751" s="19"/>
      <c r="DL1751" s="13"/>
    </row>
    <row r="1752" spans="107:116" ht="12.75" customHeight="1">
      <c r="DC1752" s="19"/>
      <c r="DL1752" s="13"/>
    </row>
    <row r="1753" spans="107:116" ht="12.75" customHeight="1">
      <c r="DC1753" s="19"/>
      <c r="DL1753" s="13"/>
    </row>
    <row r="1754" spans="107:116" ht="12.75" customHeight="1">
      <c r="DC1754" s="19"/>
      <c r="DL1754" s="13"/>
    </row>
    <row r="1755" spans="107:116" ht="12.75" customHeight="1">
      <c r="DC1755" s="19"/>
      <c r="DL1755" s="13"/>
    </row>
    <row r="1756" spans="107:116" ht="12.75" customHeight="1">
      <c r="DC1756" s="19"/>
      <c r="DL1756" s="13"/>
    </row>
    <row r="1757" spans="107:116" ht="12.75" customHeight="1">
      <c r="DC1757" s="19"/>
      <c r="DL1757" s="13"/>
    </row>
    <row r="1758" spans="107:116" ht="12.75" customHeight="1">
      <c r="DC1758" s="19"/>
      <c r="DL1758" s="13"/>
    </row>
    <row r="1759" spans="107:116" ht="12.75" customHeight="1">
      <c r="DC1759" s="19"/>
      <c r="DL1759" s="13"/>
    </row>
    <row r="1760" spans="107:116" ht="12.75" customHeight="1">
      <c r="DC1760" s="19"/>
      <c r="DL1760" s="13"/>
    </row>
    <row r="1761" spans="107:116" ht="12.75" customHeight="1">
      <c r="DC1761" s="19"/>
      <c r="DL1761" s="13"/>
    </row>
    <row r="1762" spans="107:116" ht="12.75" customHeight="1">
      <c r="DC1762" s="19"/>
      <c r="DL1762" s="13"/>
    </row>
    <row r="1763" spans="107:116" ht="12.75" customHeight="1">
      <c r="DC1763" s="19"/>
      <c r="DL1763" s="13"/>
    </row>
    <row r="1764" spans="107:116" ht="12.75" customHeight="1">
      <c r="DC1764" s="19"/>
      <c r="DL1764" s="13"/>
    </row>
    <row r="1765" spans="107:116" ht="12.75" customHeight="1">
      <c r="DC1765" s="19"/>
      <c r="DL1765" s="13"/>
    </row>
    <row r="1766" spans="107:116" ht="12.75" customHeight="1">
      <c r="DC1766" s="19"/>
      <c r="DL1766" s="13"/>
    </row>
    <row r="1767" spans="107:116" ht="12.75" customHeight="1">
      <c r="DC1767" s="19"/>
      <c r="DL1767" s="13"/>
    </row>
    <row r="1768" spans="107:116" ht="12.75" customHeight="1">
      <c r="DC1768" s="19"/>
      <c r="DL1768" s="13"/>
    </row>
    <row r="1769" spans="107:116" ht="12.75" customHeight="1">
      <c r="DC1769" s="19"/>
      <c r="DL1769" s="13"/>
    </row>
    <row r="1770" spans="107:116" ht="12.75" customHeight="1">
      <c r="DC1770" s="19"/>
      <c r="DL1770" s="13"/>
    </row>
    <row r="1771" spans="107:116" ht="12.75" customHeight="1">
      <c r="DC1771" s="19"/>
      <c r="DL1771" s="13"/>
    </row>
    <row r="1772" spans="107:116" ht="12.75" customHeight="1">
      <c r="DC1772" s="19"/>
      <c r="DL1772" s="13"/>
    </row>
    <row r="1773" spans="107:116" ht="12.75" customHeight="1">
      <c r="DC1773" s="19"/>
      <c r="DL1773" s="13"/>
    </row>
    <row r="1774" spans="107:116" ht="12.75" customHeight="1">
      <c r="DC1774" s="19"/>
      <c r="DL1774" s="13"/>
    </row>
    <row r="1775" spans="107:116" ht="12.75" customHeight="1">
      <c r="DC1775" s="19"/>
      <c r="DL1775" s="13"/>
    </row>
    <row r="1776" spans="107:116" ht="12.75" customHeight="1">
      <c r="DC1776" s="19"/>
      <c r="DL1776" s="13"/>
    </row>
    <row r="1777" spans="107:116" ht="12.75" customHeight="1">
      <c r="DC1777" s="19"/>
      <c r="DL1777" s="13"/>
    </row>
    <row r="1778" spans="107:116" ht="12.75" customHeight="1">
      <c r="DC1778" s="19"/>
      <c r="DL1778" s="13"/>
    </row>
    <row r="1779" spans="107:116" ht="12.75" customHeight="1">
      <c r="DC1779" s="19"/>
      <c r="DL1779" s="13"/>
    </row>
    <row r="1780" spans="107:116" ht="12.75" customHeight="1">
      <c r="DC1780" s="19"/>
      <c r="DL1780" s="13"/>
    </row>
    <row r="1781" spans="107:116" ht="12.75" customHeight="1">
      <c r="DC1781" s="19"/>
      <c r="DL1781" s="13"/>
    </row>
    <row r="1782" spans="107:116" ht="12.75" customHeight="1">
      <c r="DC1782" s="19"/>
      <c r="DL1782" s="13"/>
    </row>
    <row r="1783" spans="107:116" ht="12.75" customHeight="1">
      <c r="DC1783" s="19"/>
      <c r="DL1783" s="13"/>
    </row>
    <row r="1784" spans="107:116" ht="12.75" customHeight="1">
      <c r="DC1784" s="19"/>
      <c r="DL1784" s="13"/>
    </row>
    <row r="1785" spans="107:116" ht="12.75" customHeight="1">
      <c r="DC1785" s="19"/>
      <c r="DL1785" s="13"/>
    </row>
    <row r="1786" spans="107:116" ht="12.75" customHeight="1">
      <c r="DC1786" s="19"/>
      <c r="DL1786" s="13"/>
    </row>
    <row r="1787" spans="107:116" ht="12.75" customHeight="1">
      <c r="DC1787" s="19"/>
      <c r="DL1787" s="13"/>
    </row>
    <row r="1788" spans="107:116" ht="12.75" customHeight="1">
      <c r="DC1788" s="19"/>
      <c r="DL1788" s="13"/>
    </row>
    <row r="1789" spans="107:116" ht="12.75" customHeight="1">
      <c r="DC1789" s="19"/>
      <c r="DL1789" s="13"/>
    </row>
    <row r="1790" spans="107:116" ht="12.75" customHeight="1">
      <c r="DC1790" s="19"/>
      <c r="DL1790" s="13"/>
    </row>
    <row r="1791" spans="107:116" ht="12.75" customHeight="1">
      <c r="DC1791" s="19"/>
      <c r="DL1791" s="13"/>
    </row>
    <row r="1792" spans="107:116" ht="12.75" customHeight="1">
      <c r="DC1792" s="19"/>
      <c r="DL1792" s="13"/>
    </row>
    <row r="1793" spans="107:116" ht="12.75" customHeight="1">
      <c r="DC1793" s="19"/>
      <c r="DL1793" s="13"/>
    </row>
    <row r="1794" spans="107:116" ht="12.75" customHeight="1">
      <c r="DC1794" s="19"/>
      <c r="DL1794" s="13"/>
    </row>
    <row r="1795" spans="107:116" ht="12.75" customHeight="1">
      <c r="DC1795" s="19"/>
      <c r="DL1795" s="13"/>
    </row>
    <row r="1796" spans="107:116" ht="12.75" customHeight="1">
      <c r="DC1796" s="19"/>
      <c r="DL1796" s="13"/>
    </row>
    <row r="1797" spans="107:116" ht="12.75" customHeight="1">
      <c r="DC1797" s="19"/>
      <c r="DL1797" s="13"/>
    </row>
    <row r="1798" spans="107:116" ht="12.75" customHeight="1">
      <c r="DC1798" s="19"/>
      <c r="DL1798" s="13"/>
    </row>
    <row r="1799" spans="107:116" ht="12.75" customHeight="1">
      <c r="DC1799" s="19"/>
      <c r="DL1799" s="13"/>
    </row>
    <row r="1800" spans="107:116" ht="12.75" customHeight="1">
      <c r="DC1800" s="19"/>
      <c r="DL1800" s="13"/>
    </row>
    <row r="1801" spans="107:116" ht="12.75" customHeight="1">
      <c r="DC1801" s="19"/>
      <c r="DL1801" s="13"/>
    </row>
    <row r="1802" spans="107:116" ht="12.75" customHeight="1">
      <c r="DC1802" s="19"/>
      <c r="DL1802" s="13"/>
    </row>
    <row r="1803" spans="107:116" ht="12.75" customHeight="1">
      <c r="DC1803" s="19"/>
      <c r="DL1803" s="13"/>
    </row>
    <row r="1804" spans="107:116" ht="12.75" customHeight="1">
      <c r="DC1804" s="19"/>
      <c r="DL1804" s="13"/>
    </row>
    <row r="1805" spans="107:116" ht="12.75" customHeight="1">
      <c r="DC1805" s="19"/>
      <c r="DL1805" s="13"/>
    </row>
    <row r="1806" spans="107:116" ht="12.75" customHeight="1">
      <c r="DC1806" s="19"/>
      <c r="DL1806" s="13"/>
    </row>
    <row r="1807" spans="107:116" ht="12.75" customHeight="1">
      <c r="DC1807" s="19"/>
      <c r="DL1807" s="13"/>
    </row>
    <row r="1808" spans="107:116" ht="12.75" customHeight="1">
      <c r="DC1808" s="19"/>
      <c r="DL1808" s="13"/>
    </row>
    <row r="1809" spans="107:116" ht="12.75" customHeight="1">
      <c r="DC1809" s="19"/>
      <c r="DL1809" s="13"/>
    </row>
    <row r="1810" spans="107:116" ht="12.75" customHeight="1">
      <c r="DC1810" s="19"/>
      <c r="DL1810" s="13"/>
    </row>
    <row r="1811" spans="107:116" ht="12.75" customHeight="1">
      <c r="DC1811" s="19"/>
      <c r="DL1811" s="13"/>
    </row>
    <row r="1812" spans="107:116" ht="12.75" customHeight="1">
      <c r="DC1812" s="19"/>
      <c r="DL1812" s="13"/>
    </row>
    <row r="1813" spans="107:116" ht="12.75" customHeight="1">
      <c r="DC1813" s="19"/>
      <c r="DL1813" s="13"/>
    </row>
    <row r="1814" spans="107:116" ht="12.75" customHeight="1">
      <c r="DC1814" s="19"/>
      <c r="DL1814" s="13"/>
    </row>
    <row r="1815" spans="107:116" ht="12.75" customHeight="1">
      <c r="DC1815" s="19"/>
      <c r="DL1815" s="13"/>
    </row>
    <row r="1816" spans="107:116" ht="12.75" customHeight="1">
      <c r="DC1816" s="19"/>
      <c r="DL1816" s="13"/>
    </row>
    <row r="1817" spans="107:116" ht="12.75" customHeight="1">
      <c r="DC1817" s="19"/>
      <c r="DL1817" s="13"/>
    </row>
    <row r="1818" spans="107:116" ht="12.75" customHeight="1">
      <c r="DC1818" s="19"/>
      <c r="DL1818" s="13"/>
    </row>
    <row r="1819" spans="107:116" ht="12.75" customHeight="1">
      <c r="DC1819" s="19"/>
      <c r="DL1819" s="13"/>
    </row>
    <row r="1820" spans="107:116" ht="12.75" customHeight="1">
      <c r="DC1820" s="19"/>
      <c r="DL1820" s="13"/>
    </row>
    <row r="1821" spans="107:116" ht="12.75" customHeight="1">
      <c r="DC1821" s="19"/>
      <c r="DL1821" s="13"/>
    </row>
    <row r="1822" spans="107:116" ht="12.75" customHeight="1">
      <c r="DC1822" s="19"/>
      <c r="DL1822" s="13"/>
    </row>
    <row r="1823" spans="107:116" ht="12.75" customHeight="1">
      <c r="DC1823" s="19"/>
      <c r="DL1823" s="13"/>
    </row>
    <row r="1824" spans="107:116" ht="12.75" customHeight="1">
      <c r="DC1824" s="19"/>
      <c r="DL1824" s="13"/>
    </row>
    <row r="1825" spans="107:116" ht="12.75" customHeight="1">
      <c r="DC1825" s="19"/>
      <c r="DL1825" s="13"/>
    </row>
    <row r="1826" spans="107:116" ht="12.75" customHeight="1">
      <c r="DC1826" s="19"/>
      <c r="DL1826" s="13"/>
    </row>
    <row r="1827" spans="107:116" ht="12.75" customHeight="1">
      <c r="DC1827" s="19"/>
      <c r="DL1827" s="13"/>
    </row>
    <row r="1828" spans="107:116" ht="12.75" customHeight="1">
      <c r="DC1828" s="19"/>
      <c r="DL1828" s="13"/>
    </row>
    <row r="1829" spans="107:116" ht="12.75" customHeight="1">
      <c r="DC1829" s="19"/>
      <c r="DL1829" s="13"/>
    </row>
    <row r="1830" spans="107:116" ht="12.75" customHeight="1">
      <c r="DC1830" s="19"/>
      <c r="DL1830" s="13"/>
    </row>
    <row r="1831" spans="107:116" ht="12.75" customHeight="1">
      <c r="DC1831" s="19"/>
      <c r="DL1831" s="13"/>
    </row>
    <row r="1832" spans="107:116" ht="12.75" customHeight="1">
      <c r="DC1832" s="19"/>
      <c r="DL1832" s="13"/>
    </row>
    <row r="1833" spans="107:116" ht="12.75" customHeight="1">
      <c r="DC1833" s="19"/>
      <c r="DL1833" s="13"/>
    </row>
    <row r="1834" spans="107:116" ht="12.75" customHeight="1">
      <c r="DC1834" s="19"/>
      <c r="DL1834" s="13"/>
    </row>
    <row r="1835" spans="107:116" ht="12.75" customHeight="1">
      <c r="DC1835" s="19"/>
      <c r="DL1835" s="13"/>
    </row>
    <row r="1836" spans="107:116" ht="12.75" customHeight="1">
      <c r="DC1836" s="19"/>
      <c r="DL1836" s="13"/>
    </row>
    <row r="1837" spans="107:116" ht="12.75" customHeight="1">
      <c r="DC1837" s="19"/>
      <c r="DL1837" s="13"/>
    </row>
    <row r="1838" spans="107:116" ht="12.75" customHeight="1">
      <c r="DC1838" s="19"/>
      <c r="DL1838" s="13"/>
    </row>
    <row r="1839" spans="107:116" ht="12.75" customHeight="1">
      <c r="DC1839" s="19"/>
      <c r="DL1839" s="13"/>
    </row>
    <row r="1840" spans="107:116" ht="12.75" customHeight="1">
      <c r="DC1840" s="19"/>
      <c r="DL1840" s="13"/>
    </row>
    <row r="1841" spans="107:116" ht="12.75" customHeight="1">
      <c r="DC1841" s="19"/>
      <c r="DL1841" s="13"/>
    </row>
    <row r="1842" spans="107:116" ht="12.75" customHeight="1">
      <c r="DC1842" s="19"/>
      <c r="DL1842" s="13"/>
    </row>
    <row r="1843" spans="107:116" ht="12.75" customHeight="1">
      <c r="DC1843" s="19"/>
      <c r="DL1843" s="13"/>
    </row>
    <row r="1844" spans="107:116" ht="12.75" customHeight="1">
      <c r="DC1844" s="19"/>
      <c r="DL1844" s="13"/>
    </row>
    <row r="1845" spans="107:116" ht="12.75" customHeight="1">
      <c r="DC1845" s="19"/>
      <c r="DL1845" s="13"/>
    </row>
    <row r="1846" spans="107:116" ht="12.75" customHeight="1">
      <c r="DC1846" s="19"/>
      <c r="DL1846" s="13"/>
    </row>
    <row r="1847" spans="107:116" ht="12.75" customHeight="1">
      <c r="DC1847" s="19"/>
      <c r="DL1847" s="13"/>
    </row>
    <row r="1848" spans="107:116" ht="12.75" customHeight="1">
      <c r="DC1848" s="19"/>
      <c r="DL1848" s="13"/>
    </row>
    <row r="1849" spans="107:116" ht="12.75" customHeight="1">
      <c r="DC1849" s="19"/>
      <c r="DL1849" s="13"/>
    </row>
    <row r="1850" spans="107:116" ht="12.75" customHeight="1">
      <c r="DC1850" s="19"/>
      <c r="DL1850" s="13"/>
    </row>
    <row r="1851" spans="107:116" ht="12.75" customHeight="1">
      <c r="DC1851" s="19"/>
      <c r="DL1851" s="13"/>
    </row>
    <row r="1852" spans="107:116" ht="12.75" customHeight="1">
      <c r="DC1852" s="19"/>
      <c r="DL1852" s="13"/>
    </row>
    <row r="1853" spans="107:116" ht="12.75" customHeight="1">
      <c r="DC1853" s="19"/>
      <c r="DL1853" s="13"/>
    </row>
    <row r="1854" spans="107:116" ht="12.75" customHeight="1">
      <c r="DC1854" s="19"/>
      <c r="DL1854" s="13"/>
    </row>
    <row r="1855" spans="107:116" ht="12.75" customHeight="1">
      <c r="DC1855" s="19"/>
      <c r="DL1855" s="13"/>
    </row>
    <row r="1856" spans="107:116" ht="12.75" customHeight="1">
      <c r="DC1856" s="19"/>
      <c r="DL1856" s="13"/>
    </row>
    <row r="1857" spans="107:116" ht="12.75" customHeight="1">
      <c r="DC1857" s="19"/>
      <c r="DL1857" s="13"/>
    </row>
    <row r="1858" spans="107:116" ht="12.75" customHeight="1">
      <c r="DC1858" s="19"/>
      <c r="DL1858" s="13"/>
    </row>
    <row r="1859" spans="107:116" ht="12.75" customHeight="1">
      <c r="DC1859" s="19"/>
      <c r="DL1859" s="13"/>
    </row>
    <row r="1860" spans="107:116" ht="12.75" customHeight="1">
      <c r="DC1860" s="19"/>
      <c r="DL1860" s="13"/>
    </row>
    <row r="1861" spans="107:116" ht="12.75" customHeight="1">
      <c r="DC1861" s="19"/>
      <c r="DL1861" s="13"/>
    </row>
    <row r="1862" spans="107:116" ht="12.75" customHeight="1">
      <c r="DC1862" s="19"/>
      <c r="DL1862" s="13"/>
    </row>
    <row r="1863" spans="107:116" ht="12.75" customHeight="1">
      <c r="DC1863" s="19"/>
      <c r="DL1863" s="13"/>
    </row>
    <row r="1864" spans="107:116" ht="12.75" customHeight="1">
      <c r="DC1864" s="19"/>
      <c r="DL1864" s="13"/>
    </row>
    <row r="1865" spans="107:116" ht="12.75" customHeight="1">
      <c r="DC1865" s="19"/>
      <c r="DL1865" s="13"/>
    </row>
    <row r="1866" spans="107:116" ht="12.75" customHeight="1">
      <c r="DC1866" s="19"/>
      <c r="DL1866" s="13"/>
    </row>
    <row r="1867" spans="107:116" ht="12.75" customHeight="1">
      <c r="DC1867" s="19"/>
      <c r="DL1867" s="13"/>
    </row>
    <row r="1868" spans="107:116" ht="12.75" customHeight="1">
      <c r="DC1868" s="19"/>
      <c r="DL1868" s="13"/>
    </row>
    <row r="1869" spans="107:116" ht="12.75" customHeight="1">
      <c r="DC1869" s="19"/>
      <c r="DL1869" s="13"/>
    </row>
    <row r="1870" spans="107:116" ht="12.75" customHeight="1">
      <c r="DC1870" s="19"/>
      <c r="DL1870" s="13"/>
    </row>
    <row r="1871" spans="107:116" ht="12.75" customHeight="1">
      <c r="DC1871" s="19"/>
      <c r="DL1871" s="13"/>
    </row>
    <row r="1872" spans="107:116" ht="12.75" customHeight="1">
      <c r="DC1872" s="19"/>
      <c r="DL1872" s="13"/>
    </row>
    <row r="1873" spans="107:116" ht="12.75" customHeight="1">
      <c r="DC1873" s="19"/>
      <c r="DL1873" s="13"/>
    </row>
    <row r="1874" spans="107:116" ht="12.75" customHeight="1">
      <c r="DC1874" s="19"/>
      <c r="DL1874" s="13"/>
    </row>
    <row r="1875" spans="107:116" ht="12.75" customHeight="1">
      <c r="DC1875" s="19"/>
      <c r="DL1875" s="13"/>
    </row>
    <row r="1876" spans="107:116" ht="12.75" customHeight="1">
      <c r="DC1876" s="19"/>
      <c r="DL1876" s="13"/>
    </row>
    <row r="1877" spans="107:116" ht="12.75" customHeight="1">
      <c r="DC1877" s="19"/>
      <c r="DL1877" s="13"/>
    </row>
    <row r="1878" spans="107:116" ht="12.75" customHeight="1">
      <c r="DC1878" s="19"/>
      <c r="DL1878" s="13"/>
    </row>
    <row r="1879" spans="107:116" ht="12.75" customHeight="1">
      <c r="DC1879" s="19"/>
      <c r="DL1879" s="13"/>
    </row>
    <row r="1880" spans="107:116" ht="12.75" customHeight="1">
      <c r="DC1880" s="19"/>
      <c r="DL1880" s="13"/>
    </row>
    <row r="1881" spans="107:116" ht="12.75" customHeight="1">
      <c r="DC1881" s="19"/>
      <c r="DL1881" s="13"/>
    </row>
    <row r="1882" spans="107:116" ht="12.75" customHeight="1">
      <c r="DC1882" s="19"/>
      <c r="DL1882" s="13"/>
    </row>
    <row r="1883" spans="107:116" ht="12.75" customHeight="1">
      <c r="DC1883" s="19"/>
      <c r="DL1883" s="13"/>
    </row>
    <row r="1884" spans="107:116" ht="12.75" customHeight="1">
      <c r="DC1884" s="19"/>
      <c r="DL1884" s="13"/>
    </row>
    <row r="1885" spans="107:116" ht="12.75" customHeight="1">
      <c r="DC1885" s="19"/>
      <c r="DL1885" s="13"/>
    </row>
    <row r="1886" spans="107:116" ht="12.75" customHeight="1">
      <c r="DC1886" s="19"/>
      <c r="DL1886" s="13"/>
    </row>
    <row r="1887" spans="107:116" ht="12.75" customHeight="1">
      <c r="DC1887" s="19"/>
      <c r="DL1887" s="13"/>
    </row>
    <row r="1888" spans="107:116" ht="12.75" customHeight="1">
      <c r="DC1888" s="19"/>
      <c r="DL1888" s="13"/>
    </row>
    <row r="1889" spans="107:116" ht="12.75" customHeight="1">
      <c r="DC1889" s="19"/>
      <c r="DL1889" s="13"/>
    </row>
    <row r="1890" spans="107:116" ht="12.75" customHeight="1">
      <c r="DC1890" s="19"/>
      <c r="DL1890" s="13"/>
    </row>
    <row r="1891" spans="107:116" ht="12.75" customHeight="1">
      <c r="DC1891" s="19"/>
      <c r="DL1891" s="13"/>
    </row>
    <row r="1892" spans="107:116" ht="12.75" customHeight="1">
      <c r="DC1892" s="19"/>
      <c r="DL1892" s="13"/>
    </row>
    <row r="1893" spans="107:116" ht="12.75" customHeight="1">
      <c r="DC1893" s="19"/>
      <c r="DL1893" s="13"/>
    </row>
    <row r="1894" spans="107:116" ht="12.75" customHeight="1">
      <c r="DC1894" s="19"/>
      <c r="DL1894" s="13"/>
    </row>
    <row r="1895" spans="107:116" ht="12.75" customHeight="1">
      <c r="DC1895" s="19"/>
      <c r="DL1895" s="13"/>
    </row>
    <row r="1896" spans="107:116" ht="12.75" customHeight="1">
      <c r="DC1896" s="19"/>
      <c r="DL1896" s="13"/>
    </row>
    <row r="1897" spans="107:116" ht="12.75" customHeight="1">
      <c r="DC1897" s="19"/>
      <c r="DL1897" s="13"/>
    </row>
    <row r="1898" spans="107:116" ht="12.75" customHeight="1">
      <c r="DC1898" s="19"/>
      <c r="DL1898" s="13"/>
    </row>
    <row r="1899" spans="107:116" ht="12.75" customHeight="1">
      <c r="DC1899" s="19"/>
      <c r="DL1899" s="13"/>
    </row>
    <row r="1900" spans="107:116" ht="12.75" customHeight="1">
      <c r="DC1900" s="19"/>
      <c r="DL1900" s="13"/>
    </row>
    <row r="1901" spans="107:116" ht="12.75" customHeight="1">
      <c r="DC1901" s="19"/>
      <c r="DL1901" s="13"/>
    </row>
    <row r="1902" spans="107:116" ht="12.75" customHeight="1">
      <c r="DC1902" s="19"/>
      <c r="DL1902" s="13"/>
    </row>
    <row r="1903" spans="107:116" ht="12.75" customHeight="1">
      <c r="DC1903" s="19"/>
      <c r="DL1903" s="13"/>
    </row>
    <row r="1904" spans="107:116" ht="12.75" customHeight="1">
      <c r="DC1904" s="19"/>
      <c r="DL1904" s="13"/>
    </row>
    <row r="1905" spans="107:116" ht="12.75" customHeight="1">
      <c r="DC1905" s="19"/>
      <c r="DL1905" s="13"/>
    </row>
    <row r="1906" spans="107:116" ht="12.75" customHeight="1">
      <c r="DC1906" s="19"/>
      <c r="DL1906" s="13"/>
    </row>
    <row r="1907" spans="107:116" ht="12.75" customHeight="1">
      <c r="DC1907" s="19"/>
      <c r="DL1907" s="13"/>
    </row>
    <row r="1908" spans="107:116" ht="12.75" customHeight="1">
      <c r="DC1908" s="19"/>
      <c r="DL1908" s="13"/>
    </row>
    <row r="1909" spans="107:116" ht="12.75" customHeight="1">
      <c r="DC1909" s="19"/>
      <c r="DL1909" s="13"/>
    </row>
    <row r="1910" spans="107:116" ht="12.75" customHeight="1">
      <c r="DC1910" s="19"/>
      <c r="DL1910" s="13"/>
    </row>
    <row r="1911" spans="107:116" ht="12.75" customHeight="1">
      <c r="DC1911" s="19"/>
      <c r="DL1911" s="13"/>
    </row>
    <row r="1912" spans="107:116" ht="12.75" customHeight="1">
      <c r="DC1912" s="19"/>
      <c r="DL1912" s="13"/>
    </row>
    <row r="1913" spans="107:116" ht="12.75" customHeight="1">
      <c r="DC1913" s="19"/>
      <c r="DL1913" s="13"/>
    </row>
    <row r="1914" spans="107:116" ht="12.75" customHeight="1">
      <c r="DC1914" s="19"/>
      <c r="DL1914" s="13"/>
    </row>
    <row r="1915" spans="107:116" ht="12.75" customHeight="1">
      <c r="DC1915" s="19"/>
      <c r="DL1915" s="13"/>
    </row>
    <row r="1916" spans="107:116" ht="12.75" customHeight="1">
      <c r="DC1916" s="19"/>
      <c r="DL1916" s="13"/>
    </row>
    <row r="1917" spans="107:116" ht="12.75" customHeight="1">
      <c r="DC1917" s="19"/>
      <c r="DL1917" s="13"/>
    </row>
    <row r="1918" spans="107:116" ht="12.75" customHeight="1">
      <c r="DC1918" s="19"/>
      <c r="DL1918" s="13"/>
    </row>
    <row r="1919" spans="107:116" ht="12.75" customHeight="1">
      <c r="DC1919" s="19"/>
      <c r="DL1919" s="13"/>
    </row>
    <row r="1920" spans="107:116" ht="12.75" customHeight="1">
      <c r="DC1920" s="19"/>
      <c r="DL1920" s="13"/>
    </row>
    <row r="1921" spans="107:116" ht="12.75" customHeight="1">
      <c r="DC1921" s="19"/>
      <c r="DL1921" s="13"/>
    </row>
    <row r="1922" spans="107:116" ht="12.75" customHeight="1">
      <c r="DC1922" s="19"/>
      <c r="DL1922" s="13"/>
    </row>
    <row r="1923" spans="107:116" ht="12.75" customHeight="1">
      <c r="DC1923" s="19"/>
      <c r="DL1923" s="13"/>
    </row>
    <row r="1924" spans="107:116" ht="12.75" customHeight="1">
      <c r="DC1924" s="19"/>
      <c r="DL1924" s="13"/>
    </row>
    <row r="1925" spans="107:116" ht="12.75" customHeight="1">
      <c r="DC1925" s="19"/>
      <c r="DL1925" s="13"/>
    </row>
    <row r="1926" spans="107:116" ht="12.75" customHeight="1">
      <c r="DC1926" s="19"/>
      <c r="DL1926" s="13"/>
    </row>
    <row r="1927" spans="107:116" ht="12.75" customHeight="1">
      <c r="DC1927" s="19"/>
      <c r="DL1927" s="13"/>
    </row>
    <row r="1928" spans="107:116" ht="12.75" customHeight="1">
      <c r="DC1928" s="19"/>
      <c r="DL1928" s="13"/>
    </row>
    <row r="1929" spans="107:116" ht="12.75" customHeight="1">
      <c r="DC1929" s="19"/>
      <c r="DL1929" s="13"/>
    </row>
    <row r="1930" spans="107:116" ht="12.75" customHeight="1">
      <c r="DC1930" s="19"/>
      <c r="DL1930" s="13"/>
    </row>
    <row r="1931" spans="107:116" ht="12.75" customHeight="1">
      <c r="DC1931" s="19"/>
      <c r="DL1931" s="13"/>
    </row>
    <row r="1932" spans="107:116" ht="12.75" customHeight="1">
      <c r="DC1932" s="19"/>
      <c r="DL1932" s="13"/>
    </row>
    <row r="1933" spans="107:116" ht="12.75" customHeight="1">
      <c r="DC1933" s="19"/>
      <c r="DL1933" s="13"/>
    </row>
    <row r="1934" spans="107:116" ht="12.75" customHeight="1">
      <c r="DC1934" s="19"/>
      <c r="DL1934" s="13"/>
    </row>
    <row r="1935" spans="107:116" ht="12.75" customHeight="1">
      <c r="DC1935" s="19"/>
      <c r="DL1935" s="13"/>
    </row>
    <row r="1936" spans="107:116" ht="12.75" customHeight="1">
      <c r="DC1936" s="19"/>
      <c r="DL1936" s="13"/>
    </row>
    <row r="1937" spans="107:116" ht="12.75" customHeight="1">
      <c r="DC1937" s="19"/>
      <c r="DL1937" s="13"/>
    </row>
    <row r="1938" spans="107:116" ht="12.75" customHeight="1">
      <c r="DC1938" s="19"/>
      <c r="DL1938" s="13"/>
    </row>
    <row r="1939" spans="107:116" ht="12.75" customHeight="1">
      <c r="DC1939" s="19"/>
      <c r="DL1939" s="13"/>
    </row>
    <row r="1940" spans="107:116" ht="12.75" customHeight="1">
      <c r="DC1940" s="19"/>
      <c r="DL1940" s="13"/>
    </row>
    <row r="1941" spans="107:116" ht="12.75" customHeight="1">
      <c r="DC1941" s="19"/>
      <c r="DL1941" s="13"/>
    </row>
    <row r="1942" spans="107:116" ht="12.75" customHeight="1">
      <c r="DC1942" s="19"/>
      <c r="DL1942" s="13"/>
    </row>
    <row r="1943" spans="107:116" ht="12.75" customHeight="1">
      <c r="DC1943" s="19"/>
      <c r="DL1943" s="13"/>
    </row>
    <row r="1944" spans="107:116" ht="12.75" customHeight="1">
      <c r="DC1944" s="19"/>
      <c r="DL1944" s="13"/>
    </row>
    <row r="1945" spans="107:116" ht="12.75" customHeight="1">
      <c r="DC1945" s="19"/>
      <c r="DL1945" s="13"/>
    </row>
    <row r="1946" spans="107:116" ht="12.75" customHeight="1">
      <c r="DC1946" s="19"/>
      <c r="DL1946" s="13"/>
    </row>
    <row r="1947" spans="107:116" ht="12.75" customHeight="1">
      <c r="DC1947" s="19"/>
      <c r="DL1947" s="13"/>
    </row>
    <row r="1948" spans="107:116" ht="12.75" customHeight="1">
      <c r="DC1948" s="19"/>
      <c r="DL1948" s="13"/>
    </row>
    <row r="1949" spans="107:116" ht="12.75" customHeight="1">
      <c r="DC1949" s="19"/>
      <c r="DL1949" s="13"/>
    </row>
    <row r="1950" spans="107:116" ht="12.75" customHeight="1">
      <c r="DC1950" s="19"/>
      <c r="DL1950" s="13"/>
    </row>
    <row r="1951" spans="107:116" ht="12.75" customHeight="1">
      <c r="DC1951" s="19"/>
      <c r="DL1951" s="13"/>
    </row>
    <row r="1952" spans="107:116" ht="12.75" customHeight="1">
      <c r="DC1952" s="19"/>
      <c r="DL1952" s="13"/>
    </row>
    <row r="1953" spans="107:116" ht="12.75" customHeight="1">
      <c r="DC1953" s="19"/>
      <c r="DL1953" s="13"/>
    </row>
    <row r="1954" spans="107:116" ht="12.75" customHeight="1">
      <c r="DC1954" s="19"/>
      <c r="DL1954" s="13"/>
    </row>
    <row r="1955" spans="107:116" ht="12.75" customHeight="1">
      <c r="DC1955" s="19"/>
      <c r="DL1955" s="13"/>
    </row>
    <row r="1956" spans="107:116" ht="12.75" customHeight="1">
      <c r="DC1956" s="19"/>
      <c r="DL1956" s="13"/>
    </row>
    <row r="1957" spans="107:116" ht="12.75" customHeight="1">
      <c r="DC1957" s="19"/>
      <c r="DL1957" s="13"/>
    </row>
    <row r="1958" spans="107:116" ht="12.75" customHeight="1">
      <c r="DC1958" s="19"/>
      <c r="DL1958" s="13"/>
    </row>
    <row r="1959" spans="107:116" ht="12.75" customHeight="1">
      <c r="DC1959" s="19"/>
      <c r="DL1959" s="13"/>
    </row>
    <row r="1960" spans="107:116" ht="12.75" customHeight="1">
      <c r="DC1960" s="19"/>
      <c r="DL1960" s="13"/>
    </row>
    <row r="1961" spans="107:116" ht="12.75" customHeight="1">
      <c r="DC1961" s="19"/>
      <c r="DL1961" s="13"/>
    </row>
    <row r="1962" spans="107:116" ht="12.75" customHeight="1">
      <c r="DC1962" s="19"/>
      <c r="DL1962" s="13"/>
    </row>
    <row r="1963" spans="107:116" ht="12.75" customHeight="1">
      <c r="DC1963" s="19"/>
      <c r="DL1963" s="13"/>
    </row>
    <row r="1964" spans="107:116" ht="12.75" customHeight="1">
      <c r="DC1964" s="19"/>
      <c r="DL1964" s="13"/>
    </row>
    <row r="1965" spans="107:116" ht="12.75" customHeight="1">
      <c r="DC1965" s="19"/>
      <c r="DL1965" s="13"/>
    </row>
    <row r="1966" spans="107:116" ht="12.75" customHeight="1">
      <c r="DC1966" s="19"/>
      <c r="DL1966" s="13"/>
    </row>
    <row r="1967" spans="107:116" ht="12.75" customHeight="1">
      <c r="DC1967" s="19"/>
      <c r="DL1967" s="13"/>
    </row>
    <row r="1968" spans="107:116" ht="12.75" customHeight="1">
      <c r="DC1968" s="19"/>
      <c r="DL1968" s="13"/>
    </row>
    <row r="1969" spans="101:116" ht="12.75" customHeight="1">
      <c r="DC1969" s="19"/>
      <c r="DL1969" s="13"/>
    </row>
    <row r="1970" spans="101:116" ht="12.75" customHeight="1">
      <c r="DC1970" s="19"/>
      <c r="DL1970" s="13"/>
    </row>
    <row r="1971" spans="101:116" ht="12.75" customHeight="1">
      <c r="DC1971" s="19"/>
      <c r="DL1971" s="13"/>
    </row>
    <row r="1972" spans="101:116" ht="12.75" customHeight="1">
      <c r="DC1972" s="19"/>
      <c r="DL1972" s="13"/>
    </row>
    <row r="1973" spans="101:116" ht="12.75" customHeight="1">
      <c r="DC1973" s="19"/>
      <c r="DL1973" s="13"/>
    </row>
    <row r="1974" spans="101:116" ht="12.75" customHeight="1">
      <c r="DC1974" s="19"/>
      <c r="DL1974" s="13"/>
    </row>
    <row r="1975" spans="101:116" ht="12.75" customHeight="1">
      <c r="DC1975" s="19"/>
      <c r="DL1975" s="13"/>
    </row>
    <row r="1976" spans="101:116" ht="12.75" customHeight="1">
      <c r="DC1976" s="19"/>
      <c r="DL1976" s="13"/>
    </row>
    <row r="1977" spans="101:116" ht="12.75" customHeight="1">
      <c r="DC1977" s="19"/>
      <c r="DL1977" s="13"/>
    </row>
    <row r="1978" spans="101:116" ht="12.75" customHeight="1">
      <c r="DC1978" s="19"/>
      <c r="DL1978" s="13"/>
    </row>
    <row r="1979" spans="101:116" ht="12.75" customHeight="1">
      <c r="DC1979" s="19"/>
      <c r="DL1979" s="13"/>
    </row>
    <row r="1980" spans="101:116" ht="12.75" customHeight="1">
      <c r="DC1980" s="19"/>
      <c r="DL1980" s="13"/>
    </row>
    <row r="1981" spans="101:116" ht="12.75" customHeight="1">
      <c r="CW1981" s="1"/>
      <c r="DC1981" s="19"/>
      <c r="DL1981" s="13"/>
    </row>
    <row r="1982" spans="101:116" ht="12.75" customHeight="1">
      <c r="CW1982" s="1"/>
      <c r="DC1982" s="19"/>
      <c r="DL1982" s="13"/>
    </row>
    <row r="1983" spans="101:116" ht="12.75" customHeight="1">
      <c r="CW1983" s="1"/>
      <c r="DC1983" s="19"/>
      <c r="DL1983" s="13"/>
    </row>
    <row r="1984" spans="101:116" ht="12.75" customHeight="1">
      <c r="CW1984" s="1"/>
      <c r="DC1984" s="19"/>
      <c r="DL1984" s="13"/>
    </row>
    <row r="1985" spans="101:116" ht="12.75" customHeight="1">
      <c r="CW1985" s="1"/>
      <c r="DC1985" s="19"/>
      <c r="DL1985" s="13"/>
    </row>
    <row r="1986" spans="101:116" ht="12.75" customHeight="1">
      <c r="CW1986" s="1"/>
      <c r="DC1986" s="19"/>
      <c r="DL1986" s="13"/>
    </row>
    <row r="1987" spans="101:116" ht="12.75" customHeight="1">
      <c r="CW1987" s="1"/>
      <c r="DC1987" s="19"/>
      <c r="DL1987" s="13"/>
    </row>
    <row r="1988" spans="101:116" ht="12.75" customHeight="1">
      <c r="CW1988" s="1"/>
      <c r="DC1988" s="19"/>
      <c r="DL1988" s="13"/>
    </row>
    <row r="1989" spans="101:116" ht="12.75" customHeight="1">
      <c r="CW1989" s="1"/>
      <c r="DC1989" s="19"/>
      <c r="DL1989" s="13"/>
    </row>
    <row r="1990" spans="101:116" ht="12.75" customHeight="1">
      <c r="CW1990" s="1"/>
      <c r="DC1990" s="19"/>
      <c r="DL1990" s="13"/>
    </row>
    <row r="1991" spans="101:116" ht="12.75" customHeight="1">
      <c r="CW1991" s="1"/>
      <c r="DC1991" s="19"/>
      <c r="DL1991" s="13"/>
    </row>
    <row r="1992" spans="101:116" ht="12.75" customHeight="1">
      <c r="CW1992" s="1"/>
      <c r="DC1992" s="19"/>
      <c r="DL1992" s="13"/>
    </row>
    <row r="1993" spans="101:116" ht="12.75" customHeight="1">
      <c r="CW1993" s="1"/>
      <c r="DC1993" s="19"/>
      <c r="DL1993" s="13"/>
    </row>
    <row r="1994" spans="101:116" ht="12.75" customHeight="1">
      <c r="CW1994" s="1"/>
      <c r="DC1994" s="19"/>
      <c r="DL1994" s="13"/>
    </row>
    <row r="1995" spans="101:116" ht="12.75" customHeight="1">
      <c r="CW1995" s="1"/>
      <c r="DC1995" s="19"/>
      <c r="DL1995" s="13"/>
    </row>
    <row r="1996" spans="101:116" ht="12.75" customHeight="1">
      <c r="CW1996" s="1"/>
      <c r="DC1996" s="19"/>
      <c r="DL1996" s="13"/>
    </row>
    <row r="1997" spans="101:116" ht="12.75" customHeight="1">
      <c r="CW1997" s="95"/>
      <c r="DC1997" s="19"/>
      <c r="DL1997" s="13"/>
    </row>
    <row r="1998" spans="101:116" ht="12.75" customHeight="1">
      <c r="CW1998" s="95"/>
      <c r="DC1998" s="19"/>
      <c r="DL1998" s="13"/>
    </row>
    <row r="1999" spans="101:116" ht="12.75" customHeight="1">
      <c r="CW1999" s="95"/>
      <c r="DC1999" s="19"/>
      <c r="DL1999" s="13"/>
    </row>
    <row r="2000" spans="101:116" ht="12.75" customHeight="1">
      <c r="CW2000" s="95"/>
      <c r="DC2000" s="19"/>
      <c r="DL2000" s="13"/>
    </row>
    <row r="2001" spans="101:116" ht="12.75" customHeight="1">
      <c r="CW2001" s="95"/>
      <c r="DC2001" s="19"/>
      <c r="DL2001" s="13"/>
    </row>
    <row r="2002" spans="101:116" ht="12.75" customHeight="1">
      <c r="CW2002" s="95"/>
      <c r="DC2002" s="19"/>
      <c r="DL2002" s="13"/>
    </row>
    <row r="2003" spans="101:116" ht="12.75" customHeight="1">
      <c r="CW2003" s="95"/>
      <c r="DC2003" s="19"/>
      <c r="DL2003" s="13"/>
    </row>
    <row r="2004" spans="101:116" ht="12.75" customHeight="1">
      <c r="CW2004" s="95"/>
      <c r="DC2004" s="19"/>
      <c r="DL2004" s="13"/>
    </row>
    <row r="2005" spans="101:116" ht="12.75" customHeight="1">
      <c r="CW2005" s="95"/>
      <c r="DC2005" s="19"/>
      <c r="DL2005" s="13"/>
    </row>
    <row r="2006" spans="101:116" ht="12.75" customHeight="1">
      <c r="CW2006" s="95"/>
      <c r="DC2006" s="19"/>
      <c r="DL2006" s="13"/>
    </row>
    <row r="2007" spans="101:116" ht="12.75" customHeight="1">
      <c r="CW2007" s="95"/>
      <c r="DC2007" s="19"/>
      <c r="DL2007" s="13"/>
    </row>
    <row r="2008" spans="101:116" ht="12.75" customHeight="1">
      <c r="CW2008" s="95"/>
      <c r="DC2008" s="19"/>
      <c r="DL2008" s="13"/>
    </row>
    <row r="2009" spans="101:116" ht="12.75" customHeight="1">
      <c r="CW2009" s="95"/>
      <c r="DC2009" s="19"/>
      <c r="DL2009" s="13"/>
    </row>
    <row r="2010" spans="101:116" ht="12.75" customHeight="1">
      <c r="CW2010" s="136"/>
      <c r="DC2010" s="19"/>
      <c r="DL2010" s="13"/>
    </row>
    <row r="2011" spans="101:116" ht="12.75" customHeight="1">
      <c r="CW2011" s="136"/>
      <c r="DC2011" s="19"/>
      <c r="DL2011" s="13"/>
    </row>
    <row r="2012" spans="101:116" ht="12.75" customHeight="1">
      <c r="CW2012" s="26"/>
      <c r="DC2012" s="19"/>
      <c r="DL2012" s="13"/>
    </row>
    <row r="2013" spans="101:116" ht="12.75" customHeight="1">
      <c r="CW2013" s="26"/>
      <c r="DC2013" s="19"/>
      <c r="DL2013" s="13"/>
    </row>
    <row r="2014" spans="101:116" ht="12.75" customHeight="1">
      <c r="CW2014" s="26"/>
      <c r="DC2014" s="19"/>
      <c r="DL2014" s="13"/>
    </row>
    <row r="2015" spans="101:116" ht="12.75" customHeight="1">
      <c r="CW2015" s="1"/>
      <c r="DC2015" s="19"/>
      <c r="DL2015" s="13"/>
    </row>
    <row r="2016" spans="101:116" ht="12.75" customHeight="1">
      <c r="CW2016" s="1"/>
      <c r="DC2016" s="19"/>
      <c r="DL2016" s="13"/>
    </row>
    <row r="2017" spans="101:116" ht="12.75" customHeight="1">
      <c r="CW2017" s="1"/>
      <c r="DC2017" s="19"/>
      <c r="DL2017" s="13"/>
    </row>
    <row r="2018" spans="101:116" ht="12.75" customHeight="1">
      <c r="CW2018" s="1"/>
      <c r="DC2018" s="19"/>
      <c r="DL2018" s="13"/>
    </row>
    <row r="2019" spans="101:116" ht="12.75" customHeight="1">
      <c r="CW2019" s="1"/>
      <c r="DC2019" s="19"/>
      <c r="DL2019" s="13"/>
    </row>
    <row r="2020" spans="101:116" ht="12.75" customHeight="1">
      <c r="CW2020" s="1"/>
      <c r="DC2020" s="19"/>
      <c r="DL2020" s="13"/>
    </row>
    <row r="2021" spans="101:116" ht="12.75" customHeight="1">
      <c r="CW2021" s="1"/>
      <c r="DC2021" s="19"/>
      <c r="DL2021" s="13"/>
    </row>
    <row r="2022" spans="101:116" ht="12.75" customHeight="1">
      <c r="CW2022" s="1"/>
      <c r="DC2022" s="19"/>
      <c r="DL2022" s="13"/>
    </row>
    <row r="2023" spans="101:116" ht="12.75" customHeight="1">
      <c r="CW2023" s="1"/>
      <c r="DC2023" s="19"/>
      <c r="DL2023" s="13"/>
    </row>
    <row r="2024" spans="101:116" ht="12.75" customHeight="1">
      <c r="CW2024" s="1"/>
      <c r="DC2024" s="19"/>
      <c r="DL2024" s="13"/>
    </row>
    <row r="2025" spans="101:116" ht="12.75" customHeight="1">
      <c r="CW2025" s="1"/>
      <c r="DC2025" s="19"/>
      <c r="DL2025" s="13"/>
    </row>
    <row r="2026" spans="101:116" ht="12.75" customHeight="1">
      <c r="CW2026" s="1"/>
      <c r="DC2026" s="19"/>
      <c r="DL2026" s="13"/>
    </row>
    <row r="2027" spans="101:116" ht="12.75" customHeight="1">
      <c r="CW2027" s="1"/>
      <c r="DC2027" s="19"/>
      <c r="DL2027" s="13"/>
    </row>
    <row r="2028" spans="101:116" ht="12.75" customHeight="1">
      <c r="CW2028" s="1"/>
      <c r="DC2028" s="19"/>
      <c r="DL2028" s="13"/>
    </row>
    <row r="2029" spans="101:116" ht="12.75" customHeight="1">
      <c r="DC2029" s="19"/>
      <c r="DL2029" s="13"/>
    </row>
    <row r="2030" spans="101:116" ht="12.75" customHeight="1">
      <c r="DC2030" s="19"/>
      <c r="DL2030" s="13"/>
    </row>
    <row r="2031" spans="101:116" ht="12.75" customHeight="1">
      <c r="DC2031" s="19"/>
      <c r="DL2031" s="13"/>
    </row>
    <row r="2032" spans="101:116" ht="12.75" customHeight="1">
      <c r="DC2032" s="19"/>
      <c r="DL2032" s="13"/>
    </row>
    <row r="2033" spans="107:116" ht="12.75" customHeight="1">
      <c r="DC2033" s="19"/>
      <c r="DL2033" s="13"/>
    </row>
    <row r="2034" spans="107:116" ht="12.75" customHeight="1">
      <c r="DC2034" s="19"/>
      <c r="DL2034" s="13"/>
    </row>
    <row r="2035" spans="107:116" ht="12.75" customHeight="1">
      <c r="DC2035" s="19"/>
      <c r="DL2035" s="13"/>
    </row>
    <row r="2036" spans="107:116" ht="12.75" customHeight="1">
      <c r="DC2036" s="19"/>
      <c r="DL2036" s="13"/>
    </row>
    <row r="2037" spans="107:116" ht="12.75" customHeight="1">
      <c r="DC2037" s="19"/>
      <c r="DL2037" s="13"/>
    </row>
    <row r="2038" spans="107:116" ht="12.75" customHeight="1">
      <c r="DC2038" s="19"/>
      <c r="DL2038" s="13"/>
    </row>
    <row r="2039" spans="107:116" ht="12.75" customHeight="1">
      <c r="DC2039" s="19"/>
      <c r="DL2039" s="13"/>
    </row>
    <row r="2040" spans="107:116" ht="12.75" customHeight="1">
      <c r="DC2040" s="19"/>
      <c r="DL2040" s="13"/>
    </row>
    <row r="2041" spans="107:116" ht="12.75" customHeight="1">
      <c r="DC2041" s="19"/>
      <c r="DL2041" s="13"/>
    </row>
    <row r="2042" spans="107:116" ht="12.75" customHeight="1">
      <c r="DC2042" s="19"/>
      <c r="DL2042" s="13"/>
    </row>
    <row r="2043" spans="107:116" ht="12.75" customHeight="1">
      <c r="DC2043" s="19"/>
      <c r="DL2043" s="13"/>
    </row>
    <row r="2044" spans="107:116" ht="12.75" customHeight="1">
      <c r="DC2044" s="19"/>
      <c r="DL2044" s="13"/>
    </row>
    <row r="2045" spans="107:116" ht="12.75" customHeight="1">
      <c r="DC2045" s="19"/>
      <c r="DL2045" s="13"/>
    </row>
    <row r="2046" spans="107:116" ht="12.75" customHeight="1">
      <c r="DC2046" s="19"/>
      <c r="DL2046" s="13"/>
    </row>
    <row r="2047" spans="107:116" ht="12.75" customHeight="1">
      <c r="DC2047" s="19"/>
      <c r="DL2047" s="13"/>
    </row>
    <row r="2048" spans="107:116" ht="12.75" customHeight="1">
      <c r="DC2048" s="19"/>
      <c r="DL2048" s="13"/>
    </row>
    <row r="2049" spans="107:116" ht="12.75" customHeight="1">
      <c r="DC2049" s="19"/>
      <c r="DL2049" s="13"/>
    </row>
    <row r="2050" spans="107:116" ht="12.75" customHeight="1">
      <c r="DC2050" s="19"/>
      <c r="DL2050" s="13"/>
    </row>
    <row r="2051" spans="107:116" ht="12.75" customHeight="1">
      <c r="DC2051" s="19"/>
      <c r="DL2051" s="13"/>
    </row>
    <row r="2052" spans="107:116" ht="12.75" customHeight="1">
      <c r="DC2052" s="19"/>
      <c r="DL2052" s="13"/>
    </row>
    <row r="2053" spans="107:116" ht="12.75" customHeight="1">
      <c r="DC2053" s="19"/>
      <c r="DL2053" s="13"/>
    </row>
    <row r="2054" spans="107:116" ht="12.75" customHeight="1">
      <c r="DC2054" s="19"/>
      <c r="DL2054" s="13"/>
    </row>
    <row r="2055" spans="107:116" ht="12.75" customHeight="1">
      <c r="DC2055" s="19"/>
      <c r="DL2055" s="13"/>
    </row>
    <row r="2056" spans="107:116" ht="12.75" customHeight="1">
      <c r="DC2056" s="19"/>
      <c r="DL2056" s="13"/>
    </row>
    <row r="2057" spans="107:116" ht="12.75" customHeight="1">
      <c r="DC2057" s="19"/>
      <c r="DL2057" s="13"/>
    </row>
    <row r="2058" spans="107:116" ht="12.75" customHeight="1">
      <c r="DC2058" s="19"/>
      <c r="DL2058" s="13"/>
    </row>
    <row r="2059" spans="107:116" ht="12.75" customHeight="1">
      <c r="DC2059" s="19"/>
      <c r="DL2059" s="13"/>
    </row>
    <row r="2060" spans="107:116" ht="12.75" customHeight="1">
      <c r="DC2060" s="19"/>
      <c r="DL2060" s="13"/>
    </row>
    <row r="2061" spans="107:116" ht="12.75" customHeight="1">
      <c r="DC2061" s="19"/>
      <c r="DL2061" s="13"/>
    </row>
    <row r="2062" spans="107:116" ht="12.75" customHeight="1">
      <c r="DC2062" s="19"/>
      <c r="DL2062" s="13"/>
    </row>
    <row r="2063" spans="107:116" ht="12.75" customHeight="1">
      <c r="DC2063" s="19"/>
      <c r="DL2063" s="13"/>
    </row>
    <row r="2064" spans="107:116" ht="12.75" customHeight="1">
      <c r="DC2064" s="19"/>
      <c r="DL2064" s="13"/>
    </row>
    <row r="2065" spans="107:116" ht="12.75" customHeight="1">
      <c r="DC2065" s="19"/>
      <c r="DL2065" s="13"/>
    </row>
    <row r="2066" spans="107:116" ht="12.75" customHeight="1">
      <c r="DC2066" s="19"/>
      <c r="DL2066" s="13"/>
    </row>
    <row r="2067" spans="107:116" ht="12.75" customHeight="1">
      <c r="DC2067" s="19"/>
      <c r="DL2067" s="13"/>
    </row>
    <row r="2068" spans="107:116" ht="12.75" customHeight="1">
      <c r="DC2068" s="19"/>
      <c r="DL2068" s="13"/>
    </row>
    <row r="2069" spans="107:116" ht="12.75" customHeight="1">
      <c r="DC2069" s="19"/>
      <c r="DL2069" s="13"/>
    </row>
    <row r="2070" spans="107:116" ht="12.75" customHeight="1">
      <c r="DC2070" s="19"/>
      <c r="DL2070" s="13"/>
    </row>
    <row r="2071" spans="107:116" ht="12.75" customHeight="1">
      <c r="DC2071" s="19"/>
      <c r="DL2071" s="13"/>
    </row>
    <row r="2072" spans="107:116" ht="12.75" customHeight="1">
      <c r="DC2072" s="19"/>
      <c r="DL2072" s="13"/>
    </row>
    <row r="2073" spans="107:116" ht="12.75" customHeight="1">
      <c r="DC2073" s="19"/>
      <c r="DL2073" s="13"/>
    </row>
    <row r="2074" spans="107:116" ht="12.75" customHeight="1">
      <c r="DC2074" s="19"/>
      <c r="DL2074" s="13"/>
    </row>
    <row r="2075" spans="107:116" ht="12.75" customHeight="1">
      <c r="DC2075" s="19"/>
      <c r="DL2075" s="13"/>
    </row>
    <row r="2076" spans="107:116" ht="12.75" customHeight="1">
      <c r="DC2076" s="19"/>
      <c r="DL2076" s="13"/>
    </row>
    <row r="2077" spans="107:116" ht="12.75" customHeight="1">
      <c r="DC2077" s="19"/>
      <c r="DL2077" s="13"/>
    </row>
    <row r="2078" spans="107:116" ht="12.75" customHeight="1">
      <c r="DC2078" s="19"/>
      <c r="DL2078" s="13"/>
    </row>
    <row r="2079" spans="107:116" ht="12.75" customHeight="1">
      <c r="DC2079" s="19"/>
      <c r="DL2079" s="13"/>
    </row>
    <row r="2080" spans="107:116" ht="12.75" customHeight="1">
      <c r="DC2080" s="19"/>
      <c r="DL2080" s="13"/>
    </row>
    <row r="2081" spans="101:116" ht="12.75" customHeight="1">
      <c r="DC2081" s="19"/>
      <c r="DL2081" s="13"/>
    </row>
    <row r="2082" spans="101:116" ht="12.75" customHeight="1">
      <c r="DC2082" s="19"/>
      <c r="DL2082" s="13"/>
    </row>
    <row r="2083" spans="101:116" ht="12.75" customHeight="1">
      <c r="DC2083" s="19"/>
      <c r="DL2083" s="13"/>
    </row>
    <row r="2084" spans="101:116" ht="12.75" customHeight="1">
      <c r="DC2084" s="19"/>
      <c r="DL2084" s="13"/>
    </row>
    <row r="2085" spans="101:116" ht="12.75" customHeight="1">
      <c r="DC2085" s="19"/>
      <c r="DL2085" s="13"/>
    </row>
    <row r="2086" spans="101:116" ht="12.75" customHeight="1">
      <c r="DC2086" s="19"/>
      <c r="DL2086" s="13"/>
    </row>
    <row r="2087" spans="101:116" ht="12.75" customHeight="1">
      <c r="DC2087" s="19"/>
      <c r="DL2087" s="13"/>
    </row>
    <row r="2088" spans="101:116" ht="12.75" customHeight="1">
      <c r="DC2088" s="19"/>
      <c r="DL2088" s="13"/>
    </row>
    <row r="2089" spans="101:116" ht="12.75" customHeight="1">
      <c r="DC2089" s="19"/>
      <c r="DL2089" s="13"/>
    </row>
    <row r="2090" spans="101:116" ht="12.75" customHeight="1">
      <c r="DC2090" s="19"/>
      <c r="DL2090" s="13"/>
    </row>
    <row r="2091" spans="101:116" ht="12.75" customHeight="1">
      <c r="DC2091" s="19"/>
      <c r="DL2091" s="13"/>
    </row>
    <row r="2092" spans="101:116" ht="12.75" customHeight="1">
      <c r="DC2092" s="19"/>
      <c r="DL2092" s="13"/>
    </row>
    <row r="2093" spans="101:116" ht="12.75" customHeight="1">
      <c r="CW2093" s="1"/>
      <c r="DC2093" s="19"/>
      <c r="DL2093" s="13"/>
    </row>
    <row r="2094" spans="101:116" ht="12.75" customHeight="1">
      <c r="CW2094" s="1"/>
      <c r="DC2094" s="19"/>
      <c r="DL2094" s="13"/>
    </row>
    <row r="2095" spans="101:116" ht="12.75" customHeight="1">
      <c r="CW2095" s="1"/>
      <c r="DC2095" s="19"/>
      <c r="DL2095" s="13"/>
    </row>
    <row r="2096" spans="101:116" ht="12.75" customHeight="1">
      <c r="CW2096" s="1"/>
      <c r="DC2096" s="19"/>
      <c r="DL2096" s="13"/>
    </row>
    <row r="2097" spans="101:116" ht="12.75" customHeight="1">
      <c r="CW2097" s="1"/>
      <c r="DC2097" s="19"/>
      <c r="DL2097" s="13"/>
    </row>
    <row r="2098" spans="101:116" ht="12.75" customHeight="1">
      <c r="CW2098" s="1"/>
      <c r="DC2098" s="19"/>
      <c r="DL2098" s="13"/>
    </row>
    <row r="2099" spans="101:116" ht="12.75" customHeight="1">
      <c r="CW2099" s="1"/>
      <c r="DC2099" s="19"/>
      <c r="DL2099" s="13"/>
    </row>
    <row r="2100" spans="101:116" ht="12.75" customHeight="1">
      <c r="CW2100" s="1"/>
      <c r="DC2100" s="19"/>
      <c r="DL2100" s="13"/>
    </row>
    <row r="2101" spans="101:116" ht="12.75" customHeight="1">
      <c r="CW2101" s="1"/>
      <c r="DC2101" s="19"/>
      <c r="DL2101" s="13"/>
    </row>
    <row r="2102" spans="101:116" ht="12.75" customHeight="1">
      <c r="CW2102" s="1"/>
      <c r="DC2102" s="19"/>
      <c r="DL2102" s="13"/>
    </row>
    <row r="2103" spans="101:116" ht="12.75" customHeight="1">
      <c r="CW2103" s="1"/>
      <c r="DC2103" s="19"/>
      <c r="DL2103" s="13"/>
    </row>
    <row r="2104" spans="101:116" ht="12.75" customHeight="1">
      <c r="CW2104" s="1"/>
      <c r="DC2104" s="19"/>
      <c r="DL2104" s="13"/>
    </row>
    <row r="2105" spans="101:116" ht="12.75" customHeight="1">
      <c r="CW2105" s="1"/>
      <c r="DC2105" s="19"/>
      <c r="DL2105" s="13"/>
    </row>
    <row r="2106" spans="101:116" ht="12.75" customHeight="1">
      <c r="CW2106" s="1"/>
      <c r="DC2106" s="19"/>
      <c r="DL2106" s="13"/>
    </row>
    <row r="2107" spans="101:116" ht="12.75" customHeight="1">
      <c r="CW2107" s="1"/>
      <c r="DC2107" s="19"/>
      <c r="DL2107" s="13"/>
    </row>
    <row r="2108" spans="101:116" ht="12.75" customHeight="1">
      <c r="CW2108" s="1"/>
      <c r="DC2108" s="19"/>
      <c r="DL2108" s="13"/>
    </row>
    <row r="2109" spans="101:116" ht="12.75" customHeight="1">
      <c r="CW2109" s="1"/>
      <c r="DC2109" s="19"/>
      <c r="DL2109" s="13"/>
    </row>
    <row r="2110" spans="101:116" ht="12.75" customHeight="1">
      <c r="CW2110" s="1"/>
      <c r="DC2110" s="19"/>
      <c r="DL2110" s="13"/>
    </row>
    <row r="2111" spans="101:116" ht="12.75" customHeight="1">
      <c r="CW2111" s="1"/>
      <c r="DC2111" s="19"/>
      <c r="DL2111" s="13"/>
    </row>
    <row r="2112" spans="101:116" ht="12.75" customHeight="1">
      <c r="CW2112" s="23"/>
      <c r="DC2112" s="19"/>
      <c r="DL2112" s="13"/>
    </row>
    <row r="2113" spans="101:116" ht="12.75" customHeight="1">
      <c r="CW2113" s="23"/>
      <c r="DC2113" s="19"/>
      <c r="DL2113" s="13"/>
    </row>
    <row r="2114" spans="101:116" ht="12.75" customHeight="1">
      <c r="CW2114" s="23"/>
      <c r="DC2114" s="19"/>
      <c r="DL2114" s="13"/>
    </row>
    <row r="2115" spans="101:116" ht="12.75" customHeight="1">
      <c r="CW2115" s="23"/>
      <c r="DC2115" s="19"/>
      <c r="DL2115" s="13"/>
    </row>
    <row r="2116" spans="101:116" ht="12.75" customHeight="1">
      <c r="CW2116" s="23"/>
      <c r="DC2116" s="19"/>
      <c r="DL2116" s="13"/>
    </row>
    <row r="2117" spans="101:116" ht="12.75" customHeight="1">
      <c r="CW2117" s="23"/>
      <c r="DC2117" s="19"/>
      <c r="DL2117" s="13"/>
    </row>
    <row r="2118" spans="101:116" ht="12.75" customHeight="1">
      <c r="CW2118" s="137"/>
      <c r="DC2118" s="19"/>
      <c r="DL2118" s="13"/>
    </row>
    <row r="2119" spans="101:116" ht="12.75" customHeight="1">
      <c r="CW2119" s="137"/>
      <c r="DC2119" s="19"/>
      <c r="DL2119" s="13"/>
    </row>
    <row r="2120" spans="101:116" ht="12.75" customHeight="1">
      <c r="CW2120" s="138"/>
      <c r="DC2120" s="19"/>
      <c r="DL2120" s="13"/>
    </row>
    <row r="2121" spans="101:116" ht="12.75" customHeight="1">
      <c r="CW2121" s="1"/>
      <c r="DC2121" s="19"/>
      <c r="DL2121" s="13"/>
    </row>
    <row r="2122" spans="101:116" ht="12.75" customHeight="1">
      <c r="CW2122" s="1"/>
      <c r="DC2122" s="19"/>
      <c r="DL2122" s="13"/>
    </row>
    <row r="2123" spans="101:116" ht="12.75" customHeight="1">
      <c r="CW2123" s="1"/>
      <c r="DC2123" s="19"/>
      <c r="DL2123" s="13"/>
    </row>
    <row r="2124" spans="101:116" ht="12.75" customHeight="1">
      <c r="CW2124" s="1"/>
      <c r="DC2124" s="19"/>
      <c r="DL2124" s="13"/>
    </row>
    <row r="2125" spans="101:116" ht="12.75" customHeight="1">
      <c r="CW2125" s="1"/>
      <c r="DC2125" s="19"/>
      <c r="DL2125" s="13"/>
    </row>
    <row r="2126" spans="101:116" ht="12.75" customHeight="1">
      <c r="DC2126" s="19"/>
      <c r="DL2126" s="13"/>
    </row>
    <row r="2127" spans="101:116" ht="12.75" customHeight="1">
      <c r="DC2127" s="19"/>
      <c r="DL2127" s="13"/>
    </row>
    <row r="2128" spans="101:116" ht="12.75" customHeight="1">
      <c r="DC2128" s="19"/>
      <c r="DL2128" s="13"/>
    </row>
    <row r="2129" spans="107:116" ht="12.75" customHeight="1">
      <c r="DC2129" s="19"/>
      <c r="DL2129" s="13"/>
    </row>
    <row r="2130" spans="107:116" ht="12.75" customHeight="1">
      <c r="DC2130" s="19"/>
      <c r="DL2130" s="13"/>
    </row>
    <row r="2131" spans="107:116" ht="12.75" customHeight="1">
      <c r="DC2131" s="19"/>
      <c r="DL2131" s="13"/>
    </row>
    <row r="2132" spans="107:116" ht="12.75" customHeight="1">
      <c r="DC2132" s="19"/>
      <c r="DL2132" s="13"/>
    </row>
    <row r="2133" spans="107:116" ht="12.75" customHeight="1">
      <c r="DC2133" s="19"/>
      <c r="DL2133" s="13"/>
    </row>
    <row r="2134" spans="107:116" ht="12.75" customHeight="1">
      <c r="DC2134" s="19"/>
      <c r="DL2134" s="13"/>
    </row>
    <row r="2135" spans="107:116" ht="12.75" customHeight="1">
      <c r="DC2135" s="19"/>
      <c r="DL2135" s="13"/>
    </row>
    <row r="2136" spans="107:116" ht="12.75" customHeight="1">
      <c r="DC2136" s="19"/>
      <c r="DL2136" s="13"/>
    </row>
    <row r="2137" spans="107:116" ht="12.75" customHeight="1">
      <c r="DC2137" s="19"/>
      <c r="DL2137" s="13"/>
    </row>
    <row r="2138" spans="107:116" ht="12.75" customHeight="1">
      <c r="DC2138" s="19"/>
      <c r="DL2138" s="13"/>
    </row>
    <row r="2139" spans="107:116" ht="12.75" customHeight="1">
      <c r="DC2139" s="19"/>
      <c r="DL2139" s="13"/>
    </row>
    <row r="2140" spans="107:116" ht="12.75" customHeight="1">
      <c r="DC2140" s="19"/>
      <c r="DL2140" s="13"/>
    </row>
    <row r="2141" spans="107:116" ht="12.75" customHeight="1">
      <c r="DC2141" s="19"/>
      <c r="DL2141" s="13"/>
    </row>
    <row r="2142" spans="107:116" ht="12.75" customHeight="1">
      <c r="DC2142" s="19"/>
      <c r="DL2142" s="13"/>
    </row>
    <row r="2143" spans="107:116" ht="12.75" customHeight="1">
      <c r="DC2143" s="19"/>
      <c r="DL2143" s="13"/>
    </row>
    <row r="2144" spans="107:116" ht="12.75" customHeight="1">
      <c r="DC2144" s="19"/>
      <c r="DL2144" s="13"/>
    </row>
    <row r="2145" spans="107:116" ht="12.75" customHeight="1">
      <c r="DC2145" s="19"/>
      <c r="DL2145" s="13"/>
    </row>
    <row r="2146" spans="107:116" ht="12.75" customHeight="1">
      <c r="DC2146" s="19"/>
      <c r="DL2146" s="13"/>
    </row>
    <row r="2147" spans="107:116" ht="12.75" customHeight="1">
      <c r="DC2147" s="19"/>
      <c r="DL2147" s="13"/>
    </row>
    <row r="2148" spans="107:116" ht="12.75" customHeight="1">
      <c r="DC2148" s="19"/>
      <c r="DL2148" s="13"/>
    </row>
    <row r="2149" spans="107:116" ht="12.75" customHeight="1">
      <c r="DC2149" s="19"/>
      <c r="DL2149" s="13"/>
    </row>
    <row r="2150" spans="107:116" ht="12.75" customHeight="1">
      <c r="DC2150" s="19"/>
      <c r="DL2150" s="13"/>
    </row>
    <row r="2151" spans="107:116" ht="12.75" customHeight="1">
      <c r="DC2151" s="19"/>
      <c r="DL2151" s="13"/>
    </row>
    <row r="2152" spans="107:116" ht="12.75" customHeight="1">
      <c r="DC2152" s="19"/>
      <c r="DL2152" s="13"/>
    </row>
    <row r="2153" spans="107:116" ht="12.75" customHeight="1">
      <c r="DC2153" s="19"/>
      <c r="DL2153" s="13"/>
    </row>
    <row r="2154" spans="107:116" ht="12.75" customHeight="1">
      <c r="DC2154" s="19"/>
      <c r="DL2154" s="13"/>
    </row>
    <row r="2155" spans="107:116" ht="12.75" customHeight="1">
      <c r="DC2155" s="19"/>
      <c r="DL2155" s="13"/>
    </row>
    <row r="2156" spans="107:116" ht="12.75" customHeight="1">
      <c r="DC2156" s="19"/>
      <c r="DL2156" s="13"/>
    </row>
    <row r="2157" spans="107:116" ht="12.75" customHeight="1">
      <c r="DC2157" s="19"/>
      <c r="DL2157" s="13"/>
    </row>
    <row r="2158" spans="107:116" ht="12.75" customHeight="1">
      <c r="DC2158" s="19"/>
      <c r="DL2158" s="13"/>
    </row>
    <row r="2159" spans="107:116" ht="12.75" customHeight="1">
      <c r="DC2159" s="19"/>
      <c r="DL2159" s="13"/>
    </row>
    <row r="2160" spans="107:116" ht="12.75" customHeight="1">
      <c r="DC2160" s="19"/>
      <c r="DL2160" s="13"/>
    </row>
    <row r="2161" spans="107:116" ht="12.75" customHeight="1">
      <c r="DC2161" s="19"/>
      <c r="DL2161" s="13"/>
    </row>
    <row r="2162" spans="107:116" ht="12.75" customHeight="1">
      <c r="DC2162" s="19"/>
      <c r="DL2162" s="13"/>
    </row>
    <row r="2163" spans="107:116" ht="12.75" customHeight="1">
      <c r="DC2163" s="19"/>
      <c r="DL2163" s="13"/>
    </row>
    <row r="2164" spans="107:116" ht="12.75" customHeight="1">
      <c r="DC2164" s="19"/>
      <c r="DL2164" s="13"/>
    </row>
    <row r="2165" spans="107:116" ht="12.75" customHeight="1">
      <c r="DC2165" s="19"/>
      <c r="DL2165" s="13"/>
    </row>
    <row r="2166" spans="107:116" ht="12.75" customHeight="1">
      <c r="DC2166" s="19"/>
      <c r="DL2166" s="13"/>
    </row>
    <row r="2167" spans="107:116" ht="12.75" customHeight="1">
      <c r="DC2167" s="19"/>
      <c r="DL2167" s="13"/>
    </row>
    <row r="2168" spans="107:116" ht="12.75" customHeight="1">
      <c r="DC2168" s="19"/>
      <c r="DL2168" s="13"/>
    </row>
    <row r="2169" spans="107:116" ht="12.75" customHeight="1">
      <c r="DC2169" s="19"/>
      <c r="DL2169" s="13"/>
    </row>
    <row r="2170" spans="107:116" ht="12.75" customHeight="1">
      <c r="DC2170" s="19"/>
      <c r="DL2170" s="13"/>
    </row>
    <row r="2171" spans="107:116" ht="12.75" customHeight="1">
      <c r="DC2171" s="19"/>
      <c r="DL2171" s="13"/>
    </row>
    <row r="2172" spans="107:116" ht="12.75" customHeight="1">
      <c r="DC2172" s="19"/>
      <c r="DL2172" s="13"/>
    </row>
    <row r="2173" spans="107:116" ht="12.75" customHeight="1">
      <c r="DC2173" s="19"/>
      <c r="DL2173" s="13"/>
    </row>
    <row r="2174" spans="107:116" ht="12.75" customHeight="1">
      <c r="DC2174" s="19"/>
      <c r="DL2174" s="13"/>
    </row>
    <row r="2175" spans="107:116" ht="12.75" customHeight="1">
      <c r="DC2175" s="19"/>
      <c r="DL2175" s="13"/>
    </row>
    <row r="2176" spans="107:116" ht="12.75" customHeight="1">
      <c r="DC2176" s="19"/>
      <c r="DL2176" s="13"/>
    </row>
    <row r="2177" spans="107:116" ht="12.75" customHeight="1">
      <c r="DC2177" s="19"/>
      <c r="DL2177" s="13"/>
    </row>
    <row r="2178" spans="107:116" ht="12.75" customHeight="1">
      <c r="DC2178" s="19"/>
      <c r="DL2178" s="13"/>
    </row>
    <row r="2179" spans="107:116" ht="12.75" customHeight="1">
      <c r="DC2179" s="19"/>
      <c r="DL2179" s="13"/>
    </row>
    <row r="2180" spans="107:116" ht="12.75" customHeight="1">
      <c r="DC2180" s="19"/>
      <c r="DL2180" s="13"/>
    </row>
    <row r="2181" spans="107:116" ht="12.75" customHeight="1">
      <c r="DC2181" s="19"/>
      <c r="DL2181" s="13"/>
    </row>
    <row r="2182" spans="107:116" ht="12.75" customHeight="1">
      <c r="DC2182" s="19"/>
      <c r="DL2182" s="13"/>
    </row>
    <row r="2183" spans="107:116" ht="12.75" customHeight="1">
      <c r="DC2183" s="19"/>
      <c r="DL2183" s="13"/>
    </row>
    <row r="2184" spans="107:116" ht="12.75" customHeight="1">
      <c r="DC2184" s="19"/>
      <c r="DL2184" s="13"/>
    </row>
    <row r="2185" spans="107:116" ht="12.75" customHeight="1">
      <c r="DC2185" s="19"/>
      <c r="DL2185" s="13"/>
    </row>
    <row r="2186" spans="107:116" ht="12.75" customHeight="1">
      <c r="DC2186" s="19"/>
      <c r="DL2186" s="13"/>
    </row>
    <row r="2187" spans="107:116" ht="12.75" customHeight="1">
      <c r="DC2187" s="19"/>
      <c r="DL2187" s="13"/>
    </row>
    <row r="2188" spans="107:116" ht="12.75" customHeight="1">
      <c r="DC2188" s="19"/>
      <c r="DL2188" s="13"/>
    </row>
    <row r="2189" spans="107:116" ht="12.75" customHeight="1">
      <c r="DC2189" s="19"/>
      <c r="DL2189" s="13"/>
    </row>
    <row r="2190" spans="107:116" ht="12.75" customHeight="1">
      <c r="DC2190" s="19"/>
      <c r="DL2190" s="13"/>
    </row>
    <row r="2191" spans="107:116" ht="12.75" customHeight="1">
      <c r="DC2191" s="19"/>
      <c r="DL2191" s="13"/>
    </row>
    <row r="2192" spans="107:116" ht="12.75" customHeight="1">
      <c r="DC2192" s="19"/>
      <c r="DL2192" s="13"/>
    </row>
    <row r="2193" spans="107:116" ht="12.75" customHeight="1">
      <c r="DC2193" s="19"/>
      <c r="DL2193" s="13"/>
    </row>
    <row r="2194" spans="107:116" ht="12.75" customHeight="1">
      <c r="DC2194" s="19"/>
      <c r="DL2194" s="13"/>
    </row>
    <row r="2195" spans="107:116" ht="12.75" customHeight="1">
      <c r="DC2195" s="19"/>
      <c r="DL2195" s="13"/>
    </row>
    <row r="2196" spans="107:116" ht="12.75" customHeight="1">
      <c r="DC2196" s="19"/>
      <c r="DL2196" s="13"/>
    </row>
    <row r="2197" spans="107:116" ht="12.75" customHeight="1">
      <c r="DC2197" s="19"/>
      <c r="DL2197" s="13"/>
    </row>
    <row r="2198" spans="107:116" ht="12.75" customHeight="1">
      <c r="DC2198" s="19"/>
      <c r="DL2198" s="13"/>
    </row>
    <row r="2199" spans="107:116" ht="12.75" customHeight="1">
      <c r="DC2199" s="19"/>
      <c r="DL2199" s="13"/>
    </row>
    <row r="2200" spans="107:116" ht="12.75" customHeight="1">
      <c r="DC2200" s="19"/>
      <c r="DL2200" s="13"/>
    </row>
    <row r="2201" spans="107:116" ht="12.75" customHeight="1">
      <c r="DC2201" s="19"/>
      <c r="DL2201" s="13"/>
    </row>
    <row r="2202" spans="107:116" ht="12.75" customHeight="1">
      <c r="DC2202" s="19"/>
      <c r="DL2202" s="13"/>
    </row>
    <row r="2203" spans="107:116" ht="12.75" customHeight="1">
      <c r="DC2203" s="19"/>
      <c r="DL2203" s="13"/>
    </row>
    <row r="2204" spans="107:116" ht="12.75" customHeight="1">
      <c r="DC2204" s="19"/>
      <c r="DL2204" s="13"/>
    </row>
    <row r="2205" spans="107:116" ht="12.75" customHeight="1">
      <c r="DC2205" s="19"/>
      <c r="DL2205" s="13"/>
    </row>
    <row r="2206" spans="107:116" ht="12.75" customHeight="1">
      <c r="DC2206" s="19"/>
      <c r="DL2206" s="13"/>
    </row>
    <row r="2207" spans="107:116" ht="12.75" customHeight="1">
      <c r="DC2207" s="19"/>
      <c r="DL2207" s="13"/>
    </row>
    <row r="2208" spans="107:116" ht="12.75" customHeight="1">
      <c r="DC2208" s="19"/>
      <c r="DL2208" s="13"/>
    </row>
    <row r="2209" spans="107:116" ht="12.75" customHeight="1">
      <c r="DC2209" s="19"/>
      <c r="DL2209" s="13"/>
    </row>
    <row r="2210" spans="107:116" ht="12.75" customHeight="1">
      <c r="DC2210" s="19"/>
      <c r="DL2210" s="13"/>
    </row>
    <row r="2211" spans="107:116" ht="12.75" customHeight="1">
      <c r="DC2211" s="19"/>
      <c r="DL2211" s="13"/>
    </row>
    <row r="2212" spans="107:116" ht="12.75" customHeight="1">
      <c r="DC2212" s="19"/>
      <c r="DL2212" s="13"/>
    </row>
    <row r="2213" spans="107:116" ht="12.75" customHeight="1">
      <c r="DC2213" s="19"/>
      <c r="DL2213" s="13"/>
    </row>
    <row r="2214" spans="107:116" ht="12.75" customHeight="1">
      <c r="DC2214" s="19"/>
      <c r="DL2214" s="13"/>
    </row>
    <row r="2215" spans="107:116" ht="12.75" customHeight="1">
      <c r="DC2215" s="19"/>
      <c r="DL2215" s="13"/>
    </row>
    <row r="2216" spans="107:116" ht="12.75" customHeight="1">
      <c r="DC2216" s="19"/>
      <c r="DL2216" s="13"/>
    </row>
    <row r="2217" spans="107:116" ht="12.75" customHeight="1">
      <c r="DC2217" s="19"/>
      <c r="DL2217" s="13"/>
    </row>
    <row r="2218" spans="107:116" ht="12.75" customHeight="1">
      <c r="DC2218" s="19"/>
      <c r="DL2218" s="13"/>
    </row>
    <row r="2219" spans="107:116" ht="12.75" customHeight="1">
      <c r="DC2219" s="19"/>
      <c r="DL2219" s="13"/>
    </row>
    <row r="2220" spans="107:116" ht="12.75" customHeight="1">
      <c r="DC2220" s="19"/>
      <c r="DL2220" s="13"/>
    </row>
    <row r="2221" spans="107:116" ht="12.75" customHeight="1">
      <c r="DC2221" s="19"/>
      <c r="DL2221" s="13"/>
    </row>
    <row r="2222" spans="107:116" ht="12.75" customHeight="1">
      <c r="DC2222" s="19"/>
      <c r="DL2222" s="13"/>
    </row>
    <row r="2223" spans="107:116" ht="12.75" customHeight="1">
      <c r="DC2223" s="19"/>
      <c r="DL2223" s="13"/>
    </row>
    <row r="2224" spans="107:116" ht="12.75" customHeight="1">
      <c r="DC2224" s="19"/>
      <c r="DL2224" s="13"/>
    </row>
    <row r="2225" spans="107:116" ht="12.75" customHeight="1">
      <c r="DC2225" s="19"/>
      <c r="DL2225" s="13"/>
    </row>
    <row r="2226" spans="107:116" ht="12.75" customHeight="1">
      <c r="DC2226" s="19"/>
      <c r="DL2226" s="13"/>
    </row>
    <row r="2227" spans="107:116" ht="12.75" customHeight="1">
      <c r="DC2227" s="19"/>
      <c r="DL2227" s="13"/>
    </row>
    <row r="2228" spans="107:116" ht="12.75" customHeight="1">
      <c r="DC2228" s="19"/>
      <c r="DL2228" s="13"/>
    </row>
    <row r="2229" spans="107:116" ht="12.75" customHeight="1">
      <c r="DC2229" s="19"/>
      <c r="DL2229" s="13"/>
    </row>
    <row r="2230" spans="107:116" ht="12.75" customHeight="1">
      <c r="DC2230" s="19"/>
      <c r="DL2230" s="13"/>
    </row>
    <row r="2231" spans="107:116" ht="12.75" customHeight="1">
      <c r="DC2231" s="19"/>
      <c r="DL2231" s="13"/>
    </row>
    <row r="2232" spans="107:116" ht="12.75" customHeight="1">
      <c r="DC2232" s="19"/>
      <c r="DL2232" s="13"/>
    </row>
    <row r="2233" spans="107:116" ht="12.75" customHeight="1">
      <c r="DC2233" s="19"/>
      <c r="DL2233" s="13"/>
    </row>
    <row r="2234" spans="107:116" ht="12.75" customHeight="1">
      <c r="DC2234" s="19"/>
      <c r="DL2234" s="13"/>
    </row>
    <row r="2235" spans="107:116" ht="12.75" customHeight="1">
      <c r="DC2235" s="19"/>
      <c r="DL2235" s="13"/>
    </row>
    <row r="2236" spans="107:116" ht="12.75" customHeight="1">
      <c r="DC2236" s="19"/>
      <c r="DL2236" s="13"/>
    </row>
    <row r="2237" spans="107:116" ht="12.75" customHeight="1">
      <c r="DC2237" s="19"/>
      <c r="DL2237" s="13"/>
    </row>
    <row r="2238" spans="107:116" ht="12.75" customHeight="1">
      <c r="DC2238" s="19"/>
      <c r="DL2238" s="13"/>
    </row>
    <row r="2239" spans="107:116" ht="12.75" customHeight="1">
      <c r="DC2239" s="19"/>
      <c r="DL2239" s="13"/>
    </row>
    <row r="2240" spans="107:116" ht="12.75" customHeight="1">
      <c r="DC2240" s="19"/>
      <c r="DL2240" s="13"/>
    </row>
    <row r="2241" spans="107:116" ht="12.75" customHeight="1">
      <c r="DC2241" s="19"/>
      <c r="DL2241" s="13"/>
    </row>
    <row r="2242" spans="107:116" ht="12.75" customHeight="1">
      <c r="DC2242" s="19"/>
      <c r="DL2242" s="13"/>
    </row>
    <row r="2243" spans="107:116" ht="12.75" customHeight="1">
      <c r="DC2243" s="19"/>
      <c r="DL2243" s="13"/>
    </row>
    <row r="2244" spans="107:116" ht="12.75" customHeight="1">
      <c r="DC2244" s="19"/>
      <c r="DL2244" s="13"/>
    </row>
    <row r="2245" spans="107:116" ht="12.75" customHeight="1">
      <c r="DC2245" s="19"/>
      <c r="DL2245" s="13"/>
    </row>
    <row r="2246" spans="107:116" ht="12.75" customHeight="1">
      <c r="DC2246" s="19"/>
      <c r="DL2246" s="13"/>
    </row>
    <row r="2247" spans="107:116" ht="12.75" customHeight="1">
      <c r="DC2247" s="19"/>
      <c r="DL2247" s="13"/>
    </row>
    <row r="2248" spans="107:116" ht="12.75" customHeight="1">
      <c r="DC2248" s="19"/>
      <c r="DL2248" s="13"/>
    </row>
    <row r="2249" spans="107:116" ht="12.75" customHeight="1">
      <c r="DC2249" s="19"/>
      <c r="DL2249" s="13"/>
    </row>
    <row r="2250" spans="107:116" ht="12.75" customHeight="1">
      <c r="DC2250" s="19"/>
      <c r="DL2250" s="13"/>
    </row>
    <row r="2251" spans="107:116" ht="12.75" customHeight="1">
      <c r="DC2251" s="19"/>
      <c r="DL2251" s="13"/>
    </row>
    <row r="2252" spans="107:116" ht="12.75" customHeight="1">
      <c r="DC2252" s="19"/>
      <c r="DL2252" s="13"/>
    </row>
    <row r="2253" spans="107:116" ht="12.75" customHeight="1">
      <c r="DC2253" s="19"/>
      <c r="DL2253" s="13"/>
    </row>
    <row r="2254" spans="107:116" ht="12.75" customHeight="1">
      <c r="DC2254" s="19"/>
      <c r="DL2254" s="13"/>
    </row>
    <row r="2255" spans="107:116" ht="12.75" customHeight="1">
      <c r="DC2255" s="19"/>
      <c r="DL2255" s="13"/>
    </row>
    <row r="2256" spans="107:116" ht="12.75" customHeight="1">
      <c r="DC2256" s="19"/>
      <c r="DL2256" s="13"/>
    </row>
    <row r="2257" spans="107:116" ht="12.75" customHeight="1">
      <c r="DC2257" s="19"/>
      <c r="DL2257" s="13"/>
    </row>
    <row r="2258" spans="107:116" ht="12.75" customHeight="1">
      <c r="DC2258" s="19"/>
      <c r="DL2258" s="13"/>
    </row>
    <row r="2259" spans="107:116" ht="12.75" customHeight="1">
      <c r="DC2259" s="19"/>
      <c r="DL2259" s="13"/>
    </row>
    <row r="2260" spans="107:116" ht="12.75" customHeight="1">
      <c r="DC2260" s="19"/>
      <c r="DL2260" s="13"/>
    </row>
    <row r="2261" spans="107:116" ht="12.75" customHeight="1">
      <c r="DC2261" s="19"/>
      <c r="DL2261" s="13"/>
    </row>
    <row r="2262" spans="107:116" ht="12.75" customHeight="1">
      <c r="DC2262" s="19"/>
      <c r="DL2262" s="13"/>
    </row>
    <row r="2263" spans="107:116" ht="12.75" customHeight="1">
      <c r="DC2263" s="19"/>
      <c r="DL2263" s="13"/>
    </row>
    <row r="2264" spans="107:116" ht="12.75" customHeight="1">
      <c r="DC2264" s="19"/>
      <c r="DL2264" s="13"/>
    </row>
    <row r="2265" spans="107:116" ht="12.75" customHeight="1">
      <c r="DC2265" s="19"/>
      <c r="DL2265" s="13"/>
    </row>
    <row r="2266" spans="107:116" ht="12.75" customHeight="1">
      <c r="DC2266" s="19"/>
      <c r="DL2266" s="13"/>
    </row>
    <row r="2267" spans="107:116" ht="12.75" customHeight="1">
      <c r="DC2267" s="19"/>
      <c r="DL2267" s="13"/>
    </row>
    <row r="2268" spans="107:116" ht="12.75" customHeight="1">
      <c r="DC2268" s="19"/>
      <c r="DL2268" s="13"/>
    </row>
    <row r="2269" spans="107:116" ht="12.75" customHeight="1">
      <c r="DC2269" s="19"/>
      <c r="DL2269" s="13"/>
    </row>
    <row r="2270" spans="107:116" ht="12.75" customHeight="1">
      <c r="DC2270" s="19"/>
      <c r="DL2270" s="13"/>
    </row>
    <row r="2271" spans="107:116" ht="12.75" customHeight="1">
      <c r="DC2271" s="19"/>
      <c r="DL2271" s="13"/>
    </row>
    <row r="2272" spans="107:116" ht="12.75" customHeight="1">
      <c r="DC2272" s="19"/>
      <c r="DL2272" s="13"/>
    </row>
    <row r="2273" spans="107:116" ht="12.75" customHeight="1">
      <c r="DC2273" s="19"/>
      <c r="DL2273" s="13"/>
    </row>
    <row r="2274" spans="107:116" ht="12.75" customHeight="1">
      <c r="DC2274" s="19"/>
      <c r="DL2274" s="13"/>
    </row>
    <row r="2275" spans="107:116" ht="12.75" customHeight="1">
      <c r="DC2275" s="19"/>
      <c r="DL2275" s="13"/>
    </row>
    <row r="2276" spans="107:116" ht="12.75" customHeight="1">
      <c r="DC2276" s="19"/>
      <c r="DL2276" s="13"/>
    </row>
    <row r="2277" spans="107:116" ht="12.75" customHeight="1">
      <c r="DC2277" s="19"/>
      <c r="DL2277" s="13"/>
    </row>
    <row r="2278" spans="107:116" ht="12.75" customHeight="1">
      <c r="DC2278" s="19"/>
      <c r="DL2278" s="13"/>
    </row>
    <row r="2279" spans="107:116" ht="12.75" customHeight="1">
      <c r="DC2279" s="19"/>
      <c r="DL2279" s="13"/>
    </row>
    <row r="2280" spans="107:116" ht="12.75" customHeight="1">
      <c r="DC2280" s="19"/>
      <c r="DL2280" s="13"/>
    </row>
    <row r="2281" spans="107:116" ht="12.75" customHeight="1">
      <c r="DC2281" s="19"/>
      <c r="DL2281" s="13"/>
    </row>
    <row r="2282" spans="107:116" ht="12.75" customHeight="1">
      <c r="DC2282" s="19"/>
      <c r="DL2282" s="13"/>
    </row>
    <row r="2283" spans="107:116" ht="12.75" customHeight="1">
      <c r="DC2283" s="19"/>
      <c r="DL2283" s="13"/>
    </row>
    <row r="2284" spans="107:116" ht="12.75" customHeight="1">
      <c r="DC2284" s="19"/>
      <c r="DL2284" s="13"/>
    </row>
    <row r="2285" spans="107:116" ht="12.75" customHeight="1">
      <c r="DC2285" s="19"/>
      <c r="DL2285" s="13"/>
    </row>
    <row r="2286" spans="107:116" ht="12.75" customHeight="1">
      <c r="DC2286" s="19"/>
      <c r="DL2286" s="13"/>
    </row>
    <row r="2287" spans="107:116" ht="12.75" customHeight="1">
      <c r="DC2287" s="19"/>
      <c r="DL2287" s="13"/>
    </row>
    <row r="2288" spans="107:116" ht="12.75" customHeight="1">
      <c r="DC2288" s="19"/>
      <c r="DL2288" s="13"/>
    </row>
    <row r="2289" spans="107:116" ht="12.75" customHeight="1">
      <c r="DC2289" s="19"/>
      <c r="DL2289" s="13"/>
    </row>
    <row r="2290" spans="107:116" ht="12.75" customHeight="1">
      <c r="DC2290" s="19"/>
      <c r="DL2290" s="13"/>
    </row>
    <row r="2291" spans="107:116" ht="12.75" customHeight="1">
      <c r="DC2291" s="19"/>
      <c r="DL2291" s="13"/>
    </row>
    <row r="2292" spans="107:116" ht="12.75" customHeight="1">
      <c r="DC2292" s="19"/>
      <c r="DL2292" s="13"/>
    </row>
    <row r="2293" spans="107:116" ht="12.75" customHeight="1">
      <c r="DC2293" s="19"/>
      <c r="DL2293" s="13"/>
    </row>
    <row r="2294" spans="107:116" ht="12.75" customHeight="1">
      <c r="DC2294" s="19"/>
      <c r="DL2294" s="13"/>
    </row>
    <row r="2295" spans="107:116" ht="12.75" customHeight="1">
      <c r="DC2295" s="19"/>
      <c r="DL2295" s="13"/>
    </row>
    <row r="2296" spans="107:116" ht="12.75" customHeight="1">
      <c r="DC2296" s="19"/>
      <c r="DL2296" s="13"/>
    </row>
    <row r="2297" spans="107:116" ht="12.75" customHeight="1">
      <c r="DC2297" s="19"/>
      <c r="DL2297" s="13"/>
    </row>
    <row r="2298" spans="107:116" ht="12.75" customHeight="1">
      <c r="DC2298" s="19"/>
      <c r="DL2298" s="13"/>
    </row>
    <row r="2299" spans="107:116" ht="12.75" customHeight="1">
      <c r="DC2299" s="19"/>
      <c r="DL2299" s="13"/>
    </row>
    <row r="2300" spans="107:116" ht="12.75" customHeight="1">
      <c r="DC2300" s="19"/>
      <c r="DL2300" s="13"/>
    </row>
    <row r="2301" spans="107:116" ht="12.75" customHeight="1">
      <c r="DC2301" s="19"/>
      <c r="DL2301" s="13"/>
    </row>
    <row r="2302" spans="107:116" ht="12.75" customHeight="1">
      <c r="DC2302" s="19"/>
      <c r="DL2302" s="13"/>
    </row>
    <row r="2303" spans="107:116" ht="12.75" customHeight="1">
      <c r="DC2303" s="19"/>
      <c r="DL2303" s="13"/>
    </row>
    <row r="2304" spans="107:116" ht="12.75" customHeight="1">
      <c r="DC2304" s="19"/>
      <c r="DL2304" s="13"/>
    </row>
    <row r="2305" spans="107:116" ht="12.75" customHeight="1">
      <c r="DC2305" s="19"/>
      <c r="DL2305" s="13"/>
    </row>
    <row r="2306" spans="107:116" ht="12.75" customHeight="1">
      <c r="DC2306" s="19"/>
      <c r="DL2306" s="13"/>
    </row>
    <row r="2307" spans="107:116" ht="12.75" customHeight="1">
      <c r="DC2307" s="19"/>
      <c r="DL2307" s="13"/>
    </row>
    <row r="2308" spans="107:116" ht="12.75" customHeight="1">
      <c r="DC2308" s="19"/>
      <c r="DL2308" s="13"/>
    </row>
    <row r="2309" spans="107:116" ht="12.75" customHeight="1">
      <c r="DC2309" s="19"/>
      <c r="DL2309" s="13"/>
    </row>
    <row r="2310" spans="107:116" ht="12.75" customHeight="1">
      <c r="DC2310" s="19"/>
      <c r="DL2310" s="13"/>
    </row>
    <row r="2311" spans="107:116" ht="12.75" customHeight="1">
      <c r="DC2311" s="19"/>
      <c r="DL2311" s="13"/>
    </row>
    <row r="2312" spans="107:116" ht="12.75" customHeight="1">
      <c r="DC2312" s="19"/>
      <c r="DL2312" s="13"/>
    </row>
    <row r="2313" spans="107:116" ht="12.75" customHeight="1">
      <c r="DC2313" s="19"/>
      <c r="DL2313" s="13"/>
    </row>
    <row r="2314" spans="107:116" ht="12.75" customHeight="1">
      <c r="DC2314" s="19"/>
      <c r="DL2314" s="13"/>
    </row>
    <row r="2315" spans="107:116" ht="12.75" customHeight="1">
      <c r="DC2315" s="19"/>
      <c r="DL2315" s="13"/>
    </row>
    <row r="2316" spans="107:116" ht="12.75" customHeight="1">
      <c r="DC2316" s="19"/>
      <c r="DL2316" s="13"/>
    </row>
    <row r="2317" spans="107:116" ht="12.75" customHeight="1">
      <c r="DC2317" s="19"/>
      <c r="DL2317" s="13"/>
    </row>
    <row r="2318" spans="107:116" ht="12.75" customHeight="1">
      <c r="DC2318" s="19"/>
      <c r="DL2318" s="13"/>
    </row>
    <row r="2319" spans="107:116" ht="12.75" customHeight="1">
      <c r="DC2319" s="19"/>
      <c r="DL2319" s="13"/>
    </row>
    <row r="2320" spans="107:116" ht="12.75" customHeight="1">
      <c r="DC2320" s="19"/>
      <c r="DL2320" s="13"/>
    </row>
    <row r="2321" spans="107:116" ht="12.75" customHeight="1">
      <c r="DC2321" s="19"/>
      <c r="DL2321" s="13"/>
    </row>
    <row r="2322" spans="107:116" ht="12.75" customHeight="1">
      <c r="DC2322" s="19"/>
      <c r="DL2322" s="13"/>
    </row>
    <row r="2323" spans="107:116" ht="12.75" customHeight="1">
      <c r="DC2323" s="19"/>
      <c r="DL2323" s="13"/>
    </row>
    <row r="2324" spans="107:116" ht="12.75" customHeight="1">
      <c r="DC2324" s="19"/>
      <c r="DL2324" s="13"/>
    </row>
    <row r="2325" spans="107:116" ht="12.75" customHeight="1">
      <c r="DC2325" s="19"/>
      <c r="DL2325" s="13"/>
    </row>
    <row r="2326" spans="107:116" ht="12.75" customHeight="1">
      <c r="DC2326" s="19"/>
      <c r="DL2326" s="13"/>
    </row>
    <row r="2327" spans="107:116" ht="12.75" customHeight="1">
      <c r="DC2327" s="19"/>
      <c r="DL2327" s="13"/>
    </row>
    <row r="2328" spans="107:116" ht="12.75" customHeight="1">
      <c r="DC2328" s="19"/>
      <c r="DL2328" s="13"/>
    </row>
    <row r="2329" spans="107:116" ht="12.75" customHeight="1">
      <c r="DC2329" s="19"/>
      <c r="DL2329" s="13"/>
    </row>
    <row r="2330" spans="107:116" ht="12.75" customHeight="1">
      <c r="DC2330" s="19"/>
      <c r="DL2330" s="13"/>
    </row>
    <row r="2331" spans="107:116" ht="12.75" customHeight="1">
      <c r="DC2331" s="19"/>
      <c r="DL2331" s="13"/>
    </row>
    <row r="2332" spans="107:116" ht="12.75" customHeight="1">
      <c r="DC2332" s="19"/>
      <c r="DL2332" s="13"/>
    </row>
    <row r="2333" spans="107:116" ht="12.75" customHeight="1">
      <c r="DC2333" s="19"/>
      <c r="DL2333" s="13"/>
    </row>
    <row r="2334" spans="107:116" ht="12.75" customHeight="1">
      <c r="DC2334" s="19"/>
      <c r="DL2334" s="13"/>
    </row>
    <row r="2335" spans="107:116" ht="12.75" customHeight="1">
      <c r="DC2335" s="19"/>
      <c r="DL2335" s="13"/>
    </row>
    <row r="2336" spans="107:116" ht="12.75" customHeight="1">
      <c r="DC2336" s="19"/>
      <c r="DL2336" s="13"/>
    </row>
    <row r="2337" spans="107:116" ht="12.75" customHeight="1">
      <c r="DC2337" s="19"/>
      <c r="DL2337" s="13"/>
    </row>
    <row r="2338" spans="107:116" ht="12.75" customHeight="1">
      <c r="DC2338" s="19"/>
      <c r="DL2338" s="13"/>
    </row>
    <row r="2339" spans="107:116" ht="12.75" customHeight="1">
      <c r="DC2339" s="19"/>
      <c r="DL2339" s="13"/>
    </row>
    <row r="2340" spans="107:116" ht="12.75" customHeight="1">
      <c r="DC2340" s="19"/>
      <c r="DL2340" s="13"/>
    </row>
    <row r="2341" spans="107:116" ht="12.75" customHeight="1">
      <c r="DC2341" s="19"/>
      <c r="DL2341" s="13"/>
    </row>
    <row r="2342" spans="107:116" ht="12.75" customHeight="1">
      <c r="DC2342" s="19"/>
      <c r="DL2342" s="13"/>
    </row>
    <row r="2343" spans="107:116" ht="12.75" customHeight="1">
      <c r="DC2343" s="19"/>
      <c r="DL2343" s="13"/>
    </row>
    <row r="2344" spans="107:116" ht="12.75" customHeight="1">
      <c r="DC2344" s="19"/>
      <c r="DL2344" s="13"/>
    </row>
    <row r="2345" spans="107:116" ht="12.75" customHeight="1">
      <c r="DC2345" s="19"/>
      <c r="DL2345" s="13"/>
    </row>
    <row r="2346" spans="107:116" ht="12.75" customHeight="1">
      <c r="DC2346" s="19"/>
      <c r="DL2346" s="13"/>
    </row>
    <row r="2347" spans="107:116" ht="12.75" customHeight="1">
      <c r="DC2347" s="19"/>
      <c r="DL2347" s="13"/>
    </row>
    <row r="2348" spans="107:116" ht="12.75" customHeight="1">
      <c r="DC2348" s="19"/>
      <c r="DL2348" s="13"/>
    </row>
    <row r="2349" spans="107:116" ht="12.75" customHeight="1">
      <c r="DC2349" s="19"/>
      <c r="DL2349" s="13"/>
    </row>
    <row r="2350" spans="107:116" ht="12.75" customHeight="1">
      <c r="DC2350" s="19"/>
      <c r="DL2350" s="13"/>
    </row>
    <row r="2351" spans="107:116" ht="12.75" customHeight="1">
      <c r="DC2351" s="19"/>
      <c r="DL2351" s="13"/>
    </row>
    <row r="2352" spans="107:116" ht="12.75" customHeight="1">
      <c r="DC2352" s="19"/>
      <c r="DL2352" s="13"/>
    </row>
    <row r="2353" spans="107:116" ht="12.75" customHeight="1">
      <c r="DC2353" s="19"/>
      <c r="DL2353" s="13"/>
    </row>
    <row r="2354" spans="107:116" ht="12.75" customHeight="1">
      <c r="DC2354" s="19"/>
      <c r="DL2354" s="13"/>
    </row>
    <row r="2355" spans="107:116" ht="12.75" customHeight="1">
      <c r="DC2355" s="19"/>
      <c r="DL2355" s="13"/>
    </row>
    <row r="2356" spans="107:116" ht="12.75" customHeight="1">
      <c r="DC2356" s="19"/>
      <c r="DL2356" s="13"/>
    </row>
    <row r="2357" spans="107:116" ht="12.75" customHeight="1">
      <c r="DC2357" s="19"/>
      <c r="DL2357" s="13"/>
    </row>
    <row r="2358" spans="107:116" ht="12.75" customHeight="1">
      <c r="DC2358" s="19"/>
      <c r="DL2358" s="13"/>
    </row>
    <row r="2359" spans="107:116" ht="12.75" customHeight="1">
      <c r="DC2359" s="19"/>
      <c r="DL2359" s="13"/>
    </row>
    <row r="2360" spans="107:116" ht="12.75" customHeight="1">
      <c r="DC2360" s="19"/>
      <c r="DL2360" s="13"/>
    </row>
    <row r="2361" spans="107:116" ht="12.75" customHeight="1">
      <c r="DC2361" s="19"/>
      <c r="DL2361" s="13"/>
    </row>
    <row r="2362" spans="107:116" ht="12.75" customHeight="1">
      <c r="DC2362" s="19"/>
      <c r="DL2362" s="13"/>
    </row>
    <row r="2363" spans="107:116" ht="12.75" customHeight="1">
      <c r="DC2363" s="19"/>
      <c r="DL2363" s="13"/>
    </row>
    <row r="2364" spans="107:116" ht="12.75" customHeight="1">
      <c r="DC2364" s="19"/>
      <c r="DL2364" s="13"/>
    </row>
    <row r="2365" spans="107:116" ht="12.75" customHeight="1">
      <c r="DC2365" s="19"/>
      <c r="DL2365" s="13"/>
    </row>
    <row r="2366" spans="107:116" ht="12.75" customHeight="1">
      <c r="DC2366" s="19"/>
      <c r="DL2366" s="13"/>
    </row>
    <row r="2367" spans="107:116" ht="12.75" customHeight="1">
      <c r="DC2367" s="19"/>
      <c r="DL2367" s="13"/>
    </row>
    <row r="2368" spans="107:116" ht="12.75" customHeight="1">
      <c r="DC2368" s="19"/>
      <c r="DL2368" s="13"/>
    </row>
    <row r="2369" spans="107:116" ht="12.75" customHeight="1">
      <c r="DC2369" s="19"/>
      <c r="DL2369" s="13"/>
    </row>
    <row r="2370" spans="107:116" ht="12.75" customHeight="1">
      <c r="DC2370" s="19"/>
      <c r="DL2370" s="13"/>
    </row>
    <row r="2371" spans="107:116" ht="12.75" customHeight="1">
      <c r="DC2371" s="19"/>
      <c r="DL2371" s="13"/>
    </row>
    <row r="2372" spans="107:116" ht="12.75" customHeight="1">
      <c r="DC2372" s="19"/>
      <c r="DL2372" s="13"/>
    </row>
    <row r="2373" spans="107:116" ht="12.75" customHeight="1">
      <c r="DC2373" s="19"/>
      <c r="DL2373" s="13"/>
    </row>
    <row r="2374" spans="107:116" ht="12.75" customHeight="1">
      <c r="DC2374" s="19"/>
      <c r="DL2374" s="13"/>
    </row>
    <row r="2375" spans="107:116" ht="12.75" customHeight="1">
      <c r="DC2375" s="19"/>
      <c r="DL2375" s="13"/>
    </row>
    <row r="2376" spans="107:116" ht="12.75" customHeight="1">
      <c r="DC2376" s="19"/>
      <c r="DL2376" s="13"/>
    </row>
    <row r="2377" spans="107:116" ht="12.75" customHeight="1">
      <c r="DC2377" s="19"/>
      <c r="DL2377" s="13"/>
    </row>
    <row r="2378" spans="107:116" ht="12.75" customHeight="1">
      <c r="DC2378" s="19"/>
      <c r="DL2378" s="13"/>
    </row>
    <row r="2379" spans="107:116" ht="12.75" customHeight="1">
      <c r="DC2379" s="19"/>
      <c r="DL2379" s="13"/>
    </row>
    <row r="2380" spans="107:116" ht="12.75" customHeight="1">
      <c r="DC2380" s="19"/>
      <c r="DL2380" s="13"/>
    </row>
    <row r="2381" spans="107:116" ht="12.75" customHeight="1">
      <c r="DC2381" s="19"/>
      <c r="DL2381" s="13"/>
    </row>
    <row r="2382" spans="107:116" ht="12.75" customHeight="1">
      <c r="DC2382" s="19"/>
      <c r="DL2382" s="13"/>
    </row>
    <row r="2383" spans="107:116" ht="12.75" customHeight="1">
      <c r="DC2383" s="19"/>
      <c r="DL2383" s="13"/>
    </row>
    <row r="2384" spans="107:116" ht="12.75" customHeight="1">
      <c r="DC2384" s="19"/>
      <c r="DL2384" s="13"/>
    </row>
    <row r="2385" spans="107:116" ht="12.75" customHeight="1">
      <c r="DC2385" s="19"/>
      <c r="DL2385" s="13"/>
    </row>
    <row r="2386" spans="107:116" ht="12.75" customHeight="1">
      <c r="DC2386" s="19"/>
      <c r="DL2386" s="13"/>
    </row>
    <row r="2387" spans="107:116" ht="12.75" customHeight="1">
      <c r="DC2387" s="19"/>
      <c r="DL2387" s="13"/>
    </row>
    <row r="2388" spans="107:116" ht="12.75" customHeight="1">
      <c r="DC2388" s="19"/>
      <c r="DL2388" s="13"/>
    </row>
    <row r="2389" spans="107:116" ht="12.75" customHeight="1">
      <c r="DC2389" s="19"/>
      <c r="DL2389" s="13"/>
    </row>
    <row r="2390" spans="107:116" ht="12.75" customHeight="1">
      <c r="DC2390" s="19"/>
      <c r="DL2390" s="13"/>
    </row>
    <row r="2391" spans="107:116" ht="12.75" customHeight="1">
      <c r="DC2391" s="19"/>
      <c r="DL2391" s="13"/>
    </row>
    <row r="2392" spans="107:116" ht="12.75" customHeight="1">
      <c r="DC2392" s="19"/>
      <c r="DL2392" s="13"/>
    </row>
    <row r="2393" spans="107:116" ht="12.75" customHeight="1">
      <c r="DC2393" s="19"/>
      <c r="DL2393" s="13"/>
    </row>
    <row r="2394" spans="107:116" ht="12.75" customHeight="1">
      <c r="DC2394" s="19"/>
      <c r="DL2394" s="13"/>
    </row>
    <row r="2395" spans="107:116" ht="12.75" customHeight="1">
      <c r="DC2395" s="19"/>
      <c r="DL2395" s="13"/>
    </row>
    <row r="2396" spans="107:116" ht="12.75" customHeight="1">
      <c r="DC2396" s="19"/>
      <c r="DL2396" s="13"/>
    </row>
    <row r="2397" spans="107:116" ht="12.75" customHeight="1">
      <c r="DC2397" s="19"/>
      <c r="DL2397" s="13"/>
    </row>
    <row r="2398" spans="107:116" ht="12.75" customHeight="1">
      <c r="DC2398" s="19"/>
      <c r="DL2398" s="13"/>
    </row>
    <row r="2399" spans="107:116" ht="12.75" customHeight="1">
      <c r="DC2399" s="19"/>
      <c r="DL2399" s="13"/>
    </row>
    <row r="2400" spans="107:116" ht="12.75" customHeight="1">
      <c r="DC2400" s="19"/>
      <c r="DL2400" s="13"/>
    </row>
    <row r="2401" spans="107:116" ht="12.75" customHeight="1">
      <c r="DC2401" s="19"/>
      <c r="DL2401" s="13"/>
    </row>
    <row r="2402" spans="107:116" ht="12.75" customHeight="1">
      <c r="DC2402" s="19"/>
      <c r="DL2402" s="13"/>
    </row>
    <row r="2403" spans="107:116" ht="12.75" customHeight="1">
      <c r="DC2403" s="19"/>
      <c r="DL2403" s="13"/>
    </row>
    <row r="2404" spans="107:116" ht="12.75" customHeight="1">
      <c r="DC2404" s="19"/>
      <c r="DL2404" s="13"/>
    </row>
    <row r="2405" spans="107:116" ht="12.75" customHeight="1">
      <c r="DC2405" s="19"/>
      <c r="DL2405" s="13"/>
    </row>
    <row r="2406" spans="107:116" ht="12.75" customHeight="1">
      <c r="DC2406" s="19"/>
      <c r="DL2406" s="13"/>
    </row>
    <row r="2407" spans="107:116" ht="12.75" customHeight="1">
      <c r="DC2407" s="19"/>
      <c r="DL2407" s="13"/>
    </row>
    <row r="2408" spans="107:116" ht="12.75" customHeight="1">
      <c r="DC2408" s="19"/>
      <c r="DL2408" s="13"/>
    </row>
    <row r="2409" spans="107:116" ht="12.75" customHeight="1">
      <c r="DC2409" s="19"/>
      <c r="DL2409" s="13"/>
    </row>
    <row r="2410" spans="107:116" ht="12.75" customHeight="1">
      <c r="DC2410" s="19"/>
      <c r="DL2410" s="13"/>
    </row>
    <row r="2411" spans="107:116" ht="12.75" customHeight="1">
      <c r="DC2411" s="19"/>
      <c r="DL2411" s="13"/>
    </row>
    <row r="2412" spans="107:116" ht="12.75" customHeight="1">
      <c r="DC2412" s="19"/>
      <c r="DL2412" s="13"/>
    </row>
    <row r="2413" spans="107:116" ht="12.75" customHeight="1">
      <c r="DC2413" s="19"/>
      <c r="DL2413" s="13"/>
    </row>
    <row r="2414" spans="107:116" ht="12.75" customHeight="1">
      <c r="DC2414" s="19"/>
      <c r="DL2414" s="13"/>
    </row>
    <row r="2415" spans="107:116" ht="12.75" customHeight="1">
      <c r="DC2415" s="19"/>
      <c r="DL2415" s="13"/>
    </row>
    <row r="2416" spans="107:116" ht="12.75" customHeight="1">
      <c r="DC2416" s="19"/>
      <c r="DL2416" s="13"/>
    </row>
    <row r="2417" spans="107:116" ht="12.75" customHeight="1">
      <c r="DC2417" s="19"/>
      <c r="DL2417" s="13"/>
    </row>
    <row r="2418" spans="107:116" ht="12.75" customHeight="1">
      <c r="DC2418" s="19"/>
      <c r="DL2418" s="13"/>
    </row>
    <row r="2419" spans="107:116" ht="12.75" customHeight="1">
      <c r="DC2419" s="19"/>
      <c r="DL2419" s="13"/>
    </row>
    <row r="2420" spans="107:116" ht="12.75" customHeight="1">
      <c r="DC2420" s="19"/>
      <c r="DL2420" s="13"/>
    </row>
    <row r="2421" spans="107:116" ht="12.75" customHeight="1">
      <c r="DC2421" s="19"/>
      <c r="DL2421" s="13"/>
    </row>
    <row r="2422" spans="107:116" ht="12.75" customHeight="1">
      <c r="DC2422" s="19"/>
      <c r="DL2422" s="13"/>
    </row>
    <row r="2423" spans="107:116" ht="12.75" customHeight="1">
      <c r="DC2423" s="19"/>
      <c r="DL2423" s="13"/>
    </row>
    <row r="2424" spans="107:116" ht="12.75" customHeight="1">
      <c r="DC2424" s="19"/>
      <c r="DL2424" s="13"/>
    </row>
    <row r="2425" spans="107:116" ht="12.75" customHeight="1">
      <c r="DC2425" s="19"/>
      <c r="DL2425" s="13"/>
    </row>
    <row r="2426" spans="107:116" ht="12.75" customHeight="1">
      <c r="DC2426" s="19"/>
      <c r="DL2426" s="13"/>
    </row>
    <row r="2427" spans="107:116" ht="12.75" customHeight="1">
      <c r="DC2427" s="19"/>
      <c r="DL2427" s="13"/>
    </row>
    <row r="2428" spans="107:116" ht="12.75" customHeight="1">
      <c r="DC2428" s="19"/>
      <c r="DL2428" s="13"/>
    </row>
    <row r="2429" spans="107:116" ht="12.75" customHeight="1">
      <c r="DC2429" s="19"/>
      <c r="DL2429" s="13"/>
    </row>
    <row r="2430" spans="107:116" ht="12.75" customHeight="1">
      <c r="DC2430" s="19"/>
      <c r="DL2430" s="13"/>
    </row>
    <row r="2431" spans="107:116" ht="12.75" customHeight="1">
      <c r="DC2431" s="19"/>
      <c r="DL2431" s="13"/>
    </row>
    <row r="2432" spans="107:116" ht="12.75" customHeight="1">
      <c r="DC2432" s="19"/>
      <c r="DL2432" s="13"/>
    </row>
    <row r="2433" spans="107:116" ht="12.75" customHeight="1">
      <c r="DC2433" s="19"/>
      <c r="DL2433" s="13"/>
    </row>
    <row r="2434" spans="107:116" ht="12.75" customHeight="1">
      <c r="DC2434" s="19"/>
      <c r="DL2434" s="13"/>
    </row>
    <row r="2435" spans="107:116" ht="12.75" customHeight="1">
      <c r="DC2435" s="19"/>
      <c r="DL2435" s="13"/>
    </row>
    <row r="2436" spans="107:116" ht="12.75" customHeight="1">
      <c r="DC2436" s="19"/>
      <c r="DL2436" s="13"/>
    </row>
    <row r="2437" spans="107:116" ht="12.75" customHeight="1">
      <c r="DC2437" s="19"/>
      <c r="DL2437" s="13"/>
    </row>
    <row r="2438" spans="107:116" ht="12.75" customHeight="1">
      <c r="DC2438" s="19"/>
      <c r="DL2438" s="13"/>
    </row>
    <row r="2439" spans="107:116" ht="12.75" customHeight="1">
      <c r="DC2439" s="19"/>
      <c r="DL2439" s="13"/>
    </row>
    <row r="2440" spans="107:116" ht="12.75" customHeight="1">
      <c r="DC2440" s="19"/>
      <c r="DL2440" s="13"/>
    </row>
    <row r="2441" spans="107:116" ht="12.75" customHeight="1">
      <c r="DC2441" s="19"/>
      <c r="DL2441" s="13"/>
    </row>
    <row r="2442" spans="107:116" ht="12.75" customHeight="1">
      <c r="DC2442" s="19"/>
      <c r="DL2442" s="13"/>
    </row>
    <row r="2443" spans="107:116" ht="12.75" customHeight="1">
      <c r="DC2443" s="19"/>
      <c r="DL2443" s="13"/>
    </row>
    <row r="2444" spans="107:116" ht="12.75" customHeight="1">
      <c r="DC2444" s="19"/>
      <c r="DL2444" s="13"/>
    </row>
    <row r="2445" spans="107:116" ht="12.75" customHeight="1">
      <c r="DC2445" s="19"/>
      <c r="DL2445" s="13"/>
    </row>
    <row r="2446" spans="107:116" ht="12.75" customHeight="1">
      <c r="DC2446" s="19"/>
      <c r="DL2446" s="13"/>
    </row>
    <row r="2447" spans="107:116" ht="12.75" customHeight="1">
      <c r="DC2447" s="19"/>
      <c r="DL2447" s="13"/>
    </row>
    <row r="2448" spans="107:116" ht="12.75" customHeight="1">
      <c r="DC2448" s="19"/>
      <c r="DL2448" s="13"/>
    </row>
    <row r="2449" spans="107:116" ht="12.75" customHeight="1">
      <c r="DC2449" s="19"/>
      <c r="DL2449" s="13"/>
    </row>
    <row r="2450" spans="107:116" ht="12.75" customHeight="1">
      <c r="DC2450" s="19"/>
      <c r="DL2450" s="13"/>
    </row>
    <row r="2451" spans="107:116" ht="12.75" customHeight="1">
      <c r="DC2451" s="19"/>
      <c r="DL2451" s="13"/>
    </row>
    <row r="2452" spans="107:116" ht="12.75" customHeight="1">
      <c r="DC2452" s="19"/>
      <c r="DL2452" s="13"/>
    </row>
    <row r="2453" spans="107:116" ht="12.75" customHeight="1">
      <c r="DC2453" s="19"/>
      <c r="DL2453" s="13"/>
    </row>
    <row r="2454" spans="107:116" ht="12.75" customHeight="1">
      <c r="DC2454" s="19"/>
      <c r="DL2454" s="13"/>
    </row>
    <row r="2455" spans="107:116" ht="12.75" customHeight="1">
      <c r="DC2455" s="19"/>
      <c r="DL2455" s="13"/>
    </row>
    <row r="2456" spans="107:116" ht="12.75" customHeight="1">
      <c r="DC2456" s="19"/>
      <c r="DL2456" s="13"/>
    </row>
    <row r="2457" spans="107:116" ht="12.75" customHeight="1">
      <c r="DC2457" s="19"/>
      <c r="DL2457" s="13"/>
    </row>
    <row r="2458" spans="107:116" ht="12.75" customHeight="1">
      <c r="DC2458" s="19"/>
      <c r="DL2458" s="13"/>
    </row>
    <row r="2459" spans="107:116" ht="12.75" customHeight="1">
      <c r="DC2459" s="19"/>
      <c r="DL2459" s="13"/>
    </row>
    <row r="2460" spans="107:116" ht="12.75" customHeight="1">
      <c r="DC2460" s="19"/>
      <c r="DL2460" s="13"/>
    </row>
    <row r="2461" spans="107:116" ht="12.75" customHeight="1">
      <c r="DC2461" s="19"/>
      <c r="DL2461" s="13"/>
    </row>
    <row r="2462" spans="107:116" ht="12.75" customHeight="1">
      <c r="DC2462" s="19"/>
      <c r="DL2462" s="13"/>
    </row>
    <row r="2463" spans="107:116" ht="12.75" customHeight="1">
      <c r="DC2463" s="19"/>
      <c r="DL2463" s="13"/>
    </row>
    <row r="2464" spans="107:116" ht="12.75" customHeight="1">
      <c r="DC2464" s="19"/>
      <c r="DL2464" s="13"/>
    </row>
    <row r="2465" spans="107:116" ht="12.75" customHeight="1">
      <c r="DC2465" s="19"/>
      <c r="DL2465" s="13"/>
    </row>
    <row r="2466" spans="107:116" ht="12.75" customHeight="1">
      <c r="DC2466" s="19"/>
      <c r="DL2466" s="13"/>
    </row>
    <row r="2467" spans="107:116" ht="12.75" customHeight="1">
      <c r="DC2467" s="19"/>
      <c r="DL2467" s="13"/>
    </row>
    <row r="2468" spans="107:116" ht="12.75" customHeight="1">
      <c r="DC2468" s="19"/>
      <c r="DL2468" s="13"/>
    </row>
    <row r="2469" spans="107:116" ht="12.75" customHeight="1">
      <c r="DC2469" s="19"/>
      <c r="DL2469" s="13"/>
    </row>
    <row r="2470" spans="107:116" ht="12.75" customHeight="1">
      <c r="DC2470" s="19"/>
      <c r="DL2470" s="13"/>
    </row>
    <row r="2471" spans="107:116" ht="12.75" customHeight="1">
      <c r="DC2471" s="19"/>
      <c r="DL2471" s="13"/>
    </row>
    <row r="2472" spans="107:116" ht="12.75" customHeight="1">
      <c r="DC2472" s="19"/>
      <c r="DL2472" s="13"/>
    </row>
    <row r="2473" spans="107:116" ht="12.75" customHeight="1">
      <c r="DC2473" s="19"/>
      <c r="DL2473" s="13"/>
    </row>
    <row r="2474" spans="107:116" ht="12.75" customHeight="1">
      <c r="DC2474" s="19"/>
      <c r="DL2474" s="13"/>
    </row>
    <row r="2475" spans="107:116" ht="12.75" customHeight="1">
      <c r="DC2475" s="19"/>
      <c r="DL2475" s="13"/>
    </row>
    <row r="2476" spans="107:116" ht="12.75" customHeight="1">
      <c r="DC2476" s="19"/>
      <c r="DL2476" s="13"/>
    </row>
    <row r="2477" spans="107:116" ht="12.75" customHeight="1">
      <c r="DC2477" s="19"/>
      <c r="DL2477" s="13"/>
    </row>
    <row r="2478" spans="107:116" ht="12.75" customHeight="1">
      <c r="DC2478" s="19"/>
      <c r="DL2478" s="13"/>
    </row>
    <row r="2479" spans="107:116" ht="12.75" customHeight="1">
      <c r="DC2479" s="19"/>
      <c r="DL2479" s="13"/>
    </row>
    <row r="2480" spans="107:116" ht="12.75" customHeight="1">
      <c r="DC2480" s="19"/>
      <c r="DL2480" s="13"/>
    </row>
    <row r="2481" spans="107:116" ht="12.75" customHeight="1">
      <c r="DC2481" s="19"/>
      <c r="DL2481" s="13"/>
    </row>
    <row r="2482" spans="107:116" ht="12.75" customHeight="1">
      <c r="DC2482" s="19"/>
      <c r="DL2482" s="13"/>
    </row>
    <row r="2483" spans="107:116" ht="12.75" customHeight="1">
      <c r="DC2483" s="19"/>
      <c r="DL2483" s="13"/>
    </row>
    <row r="2484" spans="107:116" ht="12.75" customHeight="1">
      <c r="DC2484" s="19"/>
      <c r="DL2484" s="13"/>
    </row>
    <row r="2485" spans="107:116" ht="12.75" customHeight="1">
      <c r="DC2485" s="19"/>
      <c r="DL2485" s="13"/>
    </row>
    <row r="2486" spans="107:116" ht="12.75" customHeight="1">
      <c r="DC2486" s="19"/>
      <c r="DL2486" s="13"/>
    </row>
    <row r="2487" spans="107:116" ht="12.75" customHeight="1">
      <c r="DC2487" s="19"/>
      <c r="DL2487" s="13"/>
    </row>
    <row r="2488" spans="107:116" ht="12.75" customHeight="1">
      <c r="DC2488" s="19"/>
      <c r="DL2488" s="13"/>
    </row>
    <row r="2489" spans="107:116" ht="12.75" customHeight="1">
      <c r="DC2489" s="19"/>
      <c r="DL2489" s="13"/>
    </row>
    <row r="2490" spans="107:116" ht="12.75" customHeight="1">
      <c r="DC2490" s="19"/>
      <c r="DL2490" s="13"/>
    </row>
    <row r="2491" spans="107:116" ht="12.75" customHeight="1">
      <c r="DC2491" s="19"/>
      <c r="DL2491" s="13"/>
    </row>
    <row r="2492" spans="107:116" ht="12.75" customHeight="1">
      <c r="DC2492" s="19"/>
      <c r="DL2492" s="13"/>
    </row>
    <row r="2493" spans="107:116" ht="12.75" customHeight="1">
      <c r="DC2493" s="19"/>
      <c r="DL2493" s="13"/>
    </row>
    <row r="2494" spans="107:116" ht="12.75" customHeight="1">
      <c r="DC2494" s="19"/>
      <c r="DL2494" s="13"/>
    </row>
    <row r="2495" spans="107:116" ht="12.75" customHeight="1">
      <c r="DC2495" s="19"/>
      <c r="DL2495" s="13"/>
    </row>
    <row r="2496" spans="107:116" ht="12.75" customHeight="1">
      <c r="DC2496" s="19"/>
      <c r="DL2496" s="13"/>
    </row>
    <row r="2497" spans="107:116" ht="12.75" customHeight="1">
      <c r="DC2497" s="19"/>
      <c r="DL2497" s="13"/>
    </row>
    <row r="2498" spans="107:116" ht="12.75" customHeight="1">
      <c r="DC2498" s="19"/>
      <c r="DL2498" s="13"/>
    </row>
    <row r="2499" spans="107:116" ht="12.75" customHeight="1">
      <c r="DC2499" s="19"/>
      <c r="DL2499" s="13"/>
    </row>
    <row r="2500" spans="107:116" ht="12.75" customHeight="1">
      <c r="DC2500" s="19"/>
      <c r="DL2500" s="13"/>
    </row>
    <row r="2501" spans="107:116" ht="12.75" customHeight="1">
      <c r="DC2501" s="19"/>
      <c r="DL2501" s="13"/>
    </row>
    <row r="2502" spans="107:116" ht="12.75" customHeight="1">
      <c r="DC2502" s="19"/>
      <c r="DL2502" s="13"/>
    </row>
    <row r="2503" spans="107:116" ht="12.75" customHeight="1">
      <c r="DC2503" s="19"/>
      <c r="DL2503" s="13"/>
    </row>
    <row r="2504" spans="107:116" ht="12.75" customHeight="1">
      <c r="DC2504" s="19"/>
      <c r="DL2504" s="13"/>
    </row>
    <row r="2505" spans="107:116" ht="12.75" customHeight="1">
      <c r="DC2505" s="19"/>
      <c r="DL2505" s="13"/>
    </row>
    <row r="2506" spans="107:116" ht="12.75" customHeight="1">
      <c r="DC2506" s="19"/>
      <c r="DL2506" s="13"/>
    </row>
    <row r="2507" spans="107:116" ht="12.75" customHeight="1">
      <c r="DC2507" s="19"/>
      <c r="DL2507" s="13"/>
    </row>
    <row r="2508" spans="107:116" ht="12.75" customHeight="1">
      <c r="DC2508" s="19"/>
      <c r="DL2508" s="13"/>
    </row>
    <row r="2509" spans="107:116" ht="12.75" customHeight="1">
      <c r="DC2509" s="19"/>
      <c r="DL2509" s="13"/>
    </row>
    <row r="2510" spans="107:116" ht="12.75" customHeight="1">
      <c r="DC2510" s="19"/>
      <c r="DL2510" s="13"/>
    </row>
    <row r="2511" spans="107:116" ht="12.75" customHeight="1">
      <c r="DC2511" s="19"/>
      <c r="DL2511" s="13"/>
    </row>
    <row r="2512" spans="107:116" ht="12.75" customHeight="1">
      <c r="DC2512" s="19"/>
      <c r="DL2512" s="13"/>
    </row>
    <row r="2513" spans="107:116" ht="12.75" customHeight="1">
      <c r="DC2513" s="19"/>
      <c r="DL2513" s="13"/>
    </row>
    <row r="2514" spans="107:116" ht="12.75" customHeight="1">
      <c r="DC2514" s="19"/>
      <c r="DL2514" s="13"/>
    </row>
    <row r="2515" spans="107:116" ht="12.75" customHeight="1">
      <c r="DC2515" s="19"/>
      <c r="DL2515" s="13"/>
    </row>
    <row r="2516" spans="107:116" ht="12.75" customHeight="1">
      <c r="DC2516" s="19"/>
      <c r="DL2516" s="13"/>
    </row>
    <row r="2517" spans="107:116" ht="12.75" customHeight="1">
      <c r="DC2517" s="19"/>
      <c r="DL2517" s="13"/>
    </row>
    <row r="2518" spans="107:116" ht="12.75" customHeight="1">
      <c r="DC2518" s="19"/>
      <c r="DL2518" s="13"/>
    </row>
    <row r="2519" spans="107:116" ht="12.75" customHeight="1">
      <c r="DC2519" s="19"/>
      <c r="DL2519" s="13"/>
    </row>
    <row r="2520" spans="107:116" ht="12.75" customHeight="1">
      <c r="DC2520" s="19"/>
      <c r="DL2520" s="13"/>
    </row>
    <row r="2521" spans="107:116" ht="12.75" customHeight="1">
      <c r="DC2521" s="19"/>
      <c r="DL2521" s="13"/>
    </row>
    <row r="2522" spans="107:116" ht="12.75" customHeight="1">
      <c r="DC2522" s="19"/>
      <c r="DL2522" s="13"/>
    </row>
    <row r="2523" spans="107:116" ht="12.75" customHeight="1">
      <c r="DC2523" s="19"/>
      <c r="DL2523" s="13"/>
    </row>
    <row r="2524" spans="107:116" ht="12.75" customHeight="1">
      <c r="DC2524" s="19"/>
      <c r="DL2524" s="13"/>
    </row>
    <row r="2525" spans="107:116" ht="12.75" customHeight="1">
      <c r="DC2525" s="19"/>
      <c r="DL2525" s="13"/>
    </row>
    <row r="2526" spans="107:116" ht="12.75" customHeight="1">
      <c r="DC2526" s="19"/>
      <c r="DL2526" s="13"/>
    </row>
    <row r="2527" spans="107:116" ht="12.75" customHeight="1">
      <c r="DC2527" s="19"/>
      <c r="DL2527" s="13"/>
    </row>
    <row r="2528" spans="107:116" ht="12.75" customHeight="1">
      <c r="DC2528" s="19"/>
      <c r="DL2528" s="13"/>
    </row>
    <row r="2529" spans="107:116" ht="12.75" customHeight="1">
      <c r="DC2529" s="19"/>
      <c r="DL2529" s="13"/>
    </row>
    <row r="2530" spans="107:116" ht="12.75" customHeight="1">
      <c r="DC2530" s="19"/>
      <c r="DL2530" s="13"/>
    </row>
    <row r="2531" spans="107:116" ht="12.75" customHeight="1">
      <c r="DC2531" s="19"/>
      <c r="DL2531" s="13"/>
    </row>
    <row r="2532" spans="107:116" ht="12.75" customHeight="1">
      <c r="DC2532" s="19"/>
      <c r="DL2532" s="13"/>
    </row>
    <row r="2533" spans="107:116" ht="12.75" customHeight="1">
      <c r="DC2533" s="19"/>
      <c r="DL2533" s="13"/>
    </row>
    <row r="2534" spans="107:116" ht="12.75" customHeight="1">
      <c r="DC2534" s="19"/>
      <c r="DL2534" s="13"/>
    </row>
    <row r="2535" spans="107:116" ht="12.75" customHeight="1">
      <c r="DC2535" s="19"/>
      <c r="DL2535" s="13"/>
    </row>
    <row r="2536" spans="107:116" ht="12.75" customHeight="1">
      <c r="DC2536" s="19"/>
      <c r="DL2536" s="13"/>
    </row>
    <row r="2537" spans="107:116" ht="12.75" customHeight="1">
      <c r="DC2537" s="19"/>
      <c r="DL2537" s="13"/>
    </row>
    <row r="2538" spans="107:116" ht="12.75" customHeight="1">
      <c r="DC2538" s="19"/>
      <c r="DL2538" s="13"/>
    </row>
    <row r="2539" spans="107:116" ht="12.75" customHeight="1">
      <c r="DC2539" s="19"/>
      <c r="DL2539" s="13"/>
    </row>
    <row r="2540" spans="107:116" ht="12.75" customHeight="1">
      <c r="DC2540" s="19"/>
      <c r="DL2540" s="13"/>
    </row>
    <row r="2541" spans="107:116" ht="12.75" customHeight="1">
      <c r="DC2541" s="19"/>
      <c r="DL2541" s="13"/>
    </row>
    <row r="2542" spans="107:116" ht="12.75" customHeight="1">
      <c r="DC2542" s="19"/>
      <c r="DL2542" s="13"/>
    </row>
    <row r="2543" spans="107:116" ht="12.75" customHeight="1">
      <c r="DC2543" s="19"/>
      <c r="DL2543" s="13"/>
    </row>
    <row r="2544" spans="107:116" ht="12.75" customHeight="1">
      <c r="DC2544" s="19"/>
      <c r="DL2544" s="13"/>
    </row>
    <row r="2545" spans="107:116" ht="12.75" customHeight="1">
      <c r="DC2545" s="19"/>
      <c r="DL2545" s="13"/>
    </row>
    <row r="2546" spans="107:116" ht="12.75" customHeight="1">
      <c r="DC2546" s="19"/>
      <c r="DL2546" s="13"/>
    </row>
    <row r="2547" spans="107:116" ht="12.75" customHeight="1">
      <c r="DC2547" s="19"/>
      <c r="DL2547" s="13"/>
    </row>
    <row r="2548" spans="107:116" ht="12.75" customHeight="1">
      <c r="DC2548" s="19"/>
      <c r="DL2548" s="13"/>
    </row>
    <row r="2549" spans="107:116" ht="12.75" customHeight="1">
      <c r="DC2549" s="19"/>
      <c r="DL2549" s="13"/>
    </row>
    <row r="2550" spans="107:116" ht="12.75" customHeight="1">
      <c r="DC2550" s="19"/>
      <c r="DL2550" s="13"/>
    </row>
    <row r="2551" spans="107:116" ht="12.75" customHeight="1">
      <c r="DC2551" s="19"/>
      <c r="DL2551" s="13"/>
    </row>
    <row r="2552" spans="107:116" ht="12.75" customHeight="1">
      <c r="DC2552" s="19"/>
      <c r="DL2552" s="13"/>
    </row>
    <row r="2553" spans="107:116" ht="12.75" customHeight="1">
      <c r="DC2553" s="19"/>
      <c r="DL2553" s="13"/>
    </row>
    <row r="2554" spans="107:116" ht="12.75" customHeight="1">
      <c r="DC2554" s="19"/>
      <c r="DL2554" s="13"/>
    </row>
    <row r="2555" spans="107:116" ht="12.75" customHeight="1">
      <c r="DC2555" s="19"/>
      <c r="DL2555" s="13"/>
    </row>
    <row r="2556" spans="107:116" ht="12.75" customHeight="1">
      <c r="DC2556" s="19"/>
      <c r="DL2556" s="13"/>
    </row>
    <row r="2557" spans="107:116" ht="12.75" customHeight="1">
      <c r="DC2557" s="19"/>
      <c r="DL2557" s="13"/>
    </row>
    <row r="2558" spans="107:116" ht="12.75" customHeight="1">
      <c r="DC2558" s="19"/>
      <c r="DL2558" s="13"/>
    </row>
    <row r="2559" spans="107:116" ht="12.75" customHeight="1">
      <c r="DC2559" s="19"/>
      <c r="DL2559" s="13"/>
    </row>
    <row r="2560" spans="107:116" ht="12.75" customHeight="1">
      <c r="DC2560" s="19"/>
      <c r="DL2560" s="13"/>
    </row>
    <row r="2561" spans="107:116" ht="12.75" customHeight="1">
      <c r="DC2561" s="19"/>
      <c r="DL2561" s="13"/>
    </row>
    <row r="2562" spans="107:116" ht="12.75" customHeight="1">
      <c r="DC2562" s="19"/>
      <c r="DL2562" s="13"/>
    </row>
    <row r="2563" spans="107:116" ht="12.75" customHeight="1">
      <c r="DC2563" s="19"/>
      <c r="DL2563" s="13"/>
    </row>
    <row r="2564" spans="107:116" ht="12.75" customHeight="1">
      <c r="DC2564" s="19"/>
      <c r="DL2564" s="13"/>
    </row>
    <row r="2565" spans="107:116" ht="12.75" customHeight="1">
      <c r="DC2565" s="19"/>
      <c r="DL2565" s="13"/>
    </row>
    <row r="2566" spans="107:116" ht="12.75" customHeight="1">
      <c r="DC2566" s="19"/>
      <c r="DL2566" s="13"/>
    </row>
    <row r="2567" spans="107:116" ht="12.75" customHeight="1">
      <c r="DC2567" s="19"/>
      <c r="DL2567" s="13"/>
    </row>
    <row r="2568" spans="107:116" ht="12.75" customHeight="1">
      <c r="DC2568" s="19"/>
      <c r="DL2568" s="13"/>
    </row>
    <row r="2569" spans="107:116" ht="12.75" customHeight="1">
      <c r="DC2569" s="19"/>
      <c r="DL2569" s="13"/>
    </row>
    <row r="2570" spans="107:116" ht="12.75" customHeight="1">
      <c r="DC2570" s="19"/>
      <c r="DL2570" s="13"/>
    </row>
    <row r="2571" spans="107:116" ht="12.75" customHeight="1">
      <c r="DC2571" s="19"/>
      <c r="DL2571" s="13"/>
    </row>
    <row r="2572" spans="107:116" ht="12.75" customHeight="1">
      <c r="DC2572" s="19"/>
      <c r="DL2572" s="13"/>
    </row>
    <row r="2573" spans="107:116" ht="12.75" customHeight="1">
      <c r="DC2573" s="19"/>
      <c r="DL2573" s="13"/>
    </row>
    <row r="2574" spans="107:116" ht="12.75" customHeight="1">
      <c r="DC2574" s="19"/>
      <c r="DL2574" s="13"/>
    </row>
    <row r="2575" spans="107:116" ht="12.75" customHeight="1">
      <c r="DC2575" s="19"/>
      <c r="DL2575" s="13"/>
    </row>
    <row r="2576" spans="107:116" ht="12.75" customHeight="1">
      <c r="DC2576" s="19"/>
      <c r="DL2576" s="13"/>
    </row>
    <row r="2577" spans="107:116" ht="12.75" customHeight="1">
      <c r="DC2577" s="19"/>
      <c r="DL2577" s="13"/>
    </row>
    <row r="2578" spans="107:116" ht="12.75" customHeight="1">
      <c r="DC2578" s="19"/>
      <c r="DL2578" s="13"/>
    </row>
    <row r="2579" spans="107:116" ht="12.75" customHeight="1">
      <c r="DC2579" s="19"/>
      <c r="DL2579" s="13"/>
    </row>
    <row r="2580" spans="107:116" ht="12.75" customHeight="1">
      <c r="DC2580" s="19"/>
      <c r="DL2580" s="13"/>
    </row>
    <row r="2581" spans="107:116" ht="12.75" customHeight="1">
      <c r="DC2581" s="19"/>
      <c r="DL2581" s="13"/>
    </row>
    <row r="2582" spans="107:116" ht="12.75" customHeight="1">
      <c r="DC2582" s="19"/>
      <c r="DL2582" s="13"/>
    </row>
    <row r="2583" spans="107:116" ht="12.75" customHeight="1">
      <c r="DC2583" s="19"/>
      <c r="DL2583" s="13"/>
    </row>
    <row r="2584" spans="107:116" ht="12.75" customHeight="1">
      <c r="DC2584" s="19"/>
      <c r="DL2584" s="13"/>
    </row>
    <row r="2585" spans="107:116" ht="12.75" customHeight="1">
      <c r="DC2585" s="19"/>
      <c r="DL2585" s="13"/>
    </row>
    <row r="2586" spans="107:116" ht="12.75" customHeight="1">
      <c r="DC2586" s="19"/>
      <c r="DL2586" s="13"/>
    </row>
    <row r="2587" spans="107:116" ht="12.75" customHeight="1">
      <c r="DC2587" s="19"/>
      <c r="DL2587" s="13"/>
    </row>
    <row r="2588" spans="107:116" ht="12.75" customHeight="1">
      <c r="DC2588" s="19"/>
      <c r="DL2588" s="13"/>
    </row>
    <row r="2589" spans="107:116" ht="12.75" customHeight="1">
      <c r="DC2589" s="19"/>
      <c r="DL2589" s="13"/>
    </row>
    <row r="2590" spans="107:116" ht="12.75" customHeight="1">
      <c r="DC2590" s="19"/>
      <c r="DL2590" s="13"/>
    </row>
    <row r="2591" spans="107:116" ht="12.75" customHeight="1">
      <c r="DC2591" s="19"/>
      <c r="DL2591" s="13"/>
    </row>
    <row r="2592" spans="107:116" ht="12.75" customHeight="1">
      <c r="DC2592" s="19"/>
      <c r="DL2592" s="13"/>
    </row>
    <row r="2593" spans="107:116" ht="12.75" customHeight="1">
      <c r="DC2593" s="19"/>
      <c r="DL2593" s="13"/>
    </row>
    <row r="2594" spans="107:116" ht="12.75" customHeight="1">
      <c r="DC2594" s="19"/>
      <c r="DL2594" s="13"/>
    </row>
    <row r="2595" spans="107:116" ht="12.75" customHeight="1">
      <c r="DC2595" s="19"/>
      <c r="DL2595" s="13"/>
    </row>
    <row r="2596" spans="107:116" ht="12.75" customHeight="1">
      <c r="DC2596" s="19"/>
      <c r="DL2596" s="13"/>
    </row>
    <row r="2597" spans="107:116" ht="12.75" customHeight="1">
      <c r="DC2597" s="19"/>
      <c r="DL2597" s="13"/>
    </row>
    <row r="2598" spans="107:116" ht="12.75" customHeight="1">
      <c r="DC2598" s="19"/>
      <c r="DL2598" s="13"/>
    </row>
    <row r="2599" spans="107:116" ht="12.75" customHeight="1">
      <c r="DC2599" s="19"/>
      <c r="DL2599" s="13"/>
    </row>
    <row r="2600" spans="107:116" ht="12.75" customHeight="1">
      <c r="DC2600" s="19"/>
      <c r="DL2600" s="13"/>
    </row>
    <row r="2601" spans="107:116" ht="12.75" customHeight="1">
      <c r="DC2601" s="19"/>
      <c r="DL2601" s="13"/>
    </row>
    <row r="2602" spans="107:116" ht="12.75" customHeight="1">
      <c r="DC2602" s="19"/>
      <c r="DL2602" s="13"/>
    </row>
    <row r="2603" spans="107:116" ht="12.75" customHeight="1">
      <c r="DC2603" s="19"/>
      <c r="DL2603" s="13"/>
    </row>
    <row r="2604" spans="107:116" ht="12.75" customHeight="1">
      <c r="DC2604" s="19"/>
      <c r="DL2604" s="13"/>
    </row>
    <row r="2605" spans="107:116" ht="12.75" customHeight="1">
      <c r="DC2605" s="19"/>
      <c r="DL2605" s="13"/>
    </row>
    <row r="2606" spans="107:116" ht="12.75" customHeight="1">
      <c r="DC2606" s="19"/>
      <c r="DL2606" s="13"/>
    </row>
    <row r="2607" spans="107:116" ht="12.75" customHeight="1">
      <c r="DC2607" s="19"/>
      <c r="DL2607" s="13"/>
    </row>
    <row r="2608" spans="107:116" ht="12.75" customHeight="1">
      <c r="DC2608" s="19"/>
      <c r="DL2608" s="13"/>
    </row>
    <row r="2609" spans="107:116" ht="12.75" customHeight="1">
      <c r="DC2609" s="19"/>
      <c r="DL2609" s="13"/>
    </row>
    <row r="2610" spans="107:116" ht="12.75" customHeight="1">
      <c r="DC2610" s="19"/>
      <c r="DL2610" s="13"/>
    </row>
    <row r="2611" spans="107:116" ht="12.75" customHeight="1">
      <c r="DC2611" s="19"/>
      <c r="DL2611" s="13"/>
    </row>
    <row r="2612" spans="107:116" ht="12.75" customHeight="1">
      <c r="DC2612" s="19"/>
      <c r="DL2612" s="13"/>
    </row>
    <row r="2613" spans="107:116" ht="12.75" customHeight="1">
      <c r="DC2613" s="19"/>
      <c r="DL2613" s="13"/>
    </row>
    <row r="2614" spans="107:116" ht="12.75" customHeight="1">
      <c r="DC2614" s="19"/>
      <c r="DL2614" s="13"/>
    </row>
    <row r="2615" spans="107:116" ht="12.75" customHeight="1">
      <c r="DC2615" s="19"/>
      <c r="DL2615" s="13"/>
    </row>
    <row r="2616" spans="107:116" ht="12.75" customHeight="1">
      <c r="DC2616" s="19"/>
      <c r="DL2616" s="13"/>
    </row>
    <row r="2617" spans="107:116" ht="12.75" customHeight="1">
      <c r="DC2617" s="19"/>
      <c r="DL2617" s="13"/>
    </row>
    <row r="2618" spans="107:116" ht="12.75" customHeight="1">
      <c r="DC2618" s="19"/>
      <c r="DL2618" s="13"/>
    </row>
    <row r="2619" spans="107:116" ht="12.75" customHeight="1">
      <c r="DC2619" s="19"/>
      <c r="DL2619" s="13"/>
    </row>
    <row r="2620" spans="107:116" ht="12.75" customHeight="1">
      <c r="DC2620" s="19"/>
      <c r="DL2620" s="13"/>
    </row>
    <row r="2621" spans="107:116" ht="12.75" customHeight="1">
      <c r="DC2621" s="19"/>
      <c r="DL2621" s="13"/>
    </row>
    <row r="2622" spans="107:116" ht="12.75" customHeight="1">
      <c r="DC2622" s="19"/>
      <c r="DL2622" s="13"/>
    </row>
    <row r="2623" spans="107:116" ht="12.75" customHeight="1">
      <c r="DC2623" s="19"/>
      <c r="DL2623" s="13"/>
    </row>
    <row r="2624" spans="107:116" ht="12.75" customHeight="1">
      <c r="DC2624" s="19"/>
      <c r="DL2624" s="13"/>
    </row>
    <row r="2625" spans="107:116" ht="12.75" customHeight="1">
      <c r="DC2625" s="19"/>
      <c r="DL2625" s="13"/>
    </row>
    <row r="2626" spans="107:116" ht="12.75" customHeight="1">
      <c r="DC2626" s="19"/>
      <c r="DL2626" s="13"/>
    </row>
    <row r="2627" spans="107:116" ht="12.75" customHeight="1">
      <c r="DC2627" s="19"/>
      <c r="DL2627" s="13"/>
    </row>
    <row r="2628" spans="107:116" ht="12.75" customHeight="1">
      <c r="DC2628" s="19"/>
      <c r="DL2628" s="13"/>
    </row>
    <row r="2629" spans="107:116" ht="12.75" customHeight="1">
      <c r="DC2629" s="19"/>
      <c r="DL2629" s="13"/>
    </row>
    <row r="2630" spans="107:116" ht="12.75" customHeight="1">
      <c r="DC2630" s="19"/>
      <c r="DL2630" s="13"/>
    </row>
    <row r="2631" spans="107:116" ht="12.75" customHeight="1">
      <c r="DC2631" s="19"/>
      <c r="DL2631" s="13"/>
    </row>
    <row r="2632" spans="107:116" ht="12.75" customHeight="1">
      <c r="DC2632" s="19"/>
      <c r="DL2632" s="13"/>
    </row>
    <row r="2633" spans="107:116" ht="12.75" customHeight="1">
      <c r="DC2633" s="19"/>
      <c r="DL2633" s="13"/>
    </row>
    <row r="2634" spans="107:116" ht="12.75" customHeight="1">
      <c r="DC2634" s="19"/>
      <c r="DL2634" s="13"/>
    </row>
    <row r="2635" spans="107:116" ht="12.75" customHeight="1">
      <c r="DC2635" s="19"/>
      <c r="DL2635" s="13"/>
    </row>
    <row r="2636" spans="107:116" ht="12.75" customHeight="1">
      <c r="DC2636" s="19"/>
      <c r="DL2636" s="13"/>
    </row>
    <row r="2637" spans="107:116" ht="12.75" customHeight="1">
      <c r="DC2637" s="19"/>
      <c r="DL2637" s="13"/>
    </row>
    <row r="2638" spans="107:116" ht="12.75" customHeight="1">
      <c r="DC2638" s="19"/>
      <c r="DL2638" s="13"/>
    </row>
    <row r="2639" spans="107:116" ht="12.75" customHeight="1">
      <c r="DC2639" s="19"/>
      <c r="DL2639" s="13"/>
    </row>
    <row r="2640" spans="107:116" ht="12.75" customHeight="1">
      <c r="DC2640" s="19"/>
      <c r="DL2640" s="13"/>
    </row>
    <row r="2641" spans="107:116" ht="12.75" customHeight="1">
      <c r="DC2641" s="19"/>
      <c r="DL2641" s="13"/>
    </row>
    <row r="2642" spans="107:116" ht="12.75" customHeight="1">
      <c r="DC2642" s="19"/>
      <c r="DL2642" s="13"/>
    </row>
    <row r="2643" spans="107:116" ht="12.75" customHeight="1">
      <c r="DC2643" s="19"/>
      <c r="DL2643" s="13"/>
    </row>
    <row r="2644" spans="107:116" ht="12.75" customHeight="1">
      <c r="DC2644" s="19"/>
      <c r="DL2644" s="13"/>
    </row>
    <row r="2645" spans="107:116" ht="12.75" customHeight="1">
      <c r="DC2645" s="19"/>
      <c r="DL2645" s="13"/>
    </row>
    <row r="2646" spans="107:116" ht="12.75" customHeight="1">
      <c r="DC2646" s="19"/>
      <c r="DL2646" s="13"/>
    </row>
    <row r="2647" spans="107:116" ht="12.75" customHeight="1">
      <c r="DC2647" s="19"/>
      <c r="DL2647" s="13"/>
    </row>
    <row r="2648" spans="107:116" ht="12.75" customHeight="1">
      <c r="DC2648" s="19"/>
      <c r="DL2648" s="13"/>
    </row>
    <row r="2649" spans="107:116" ht="12.75" customHeight="1">
      <c r="DC2649" s="19"/>
      <c r="DL2649" s="13"/>
    </row>
    <row r="2650" spans="107:116" ht="12.75" customHeight="1">
      <c r="DC2650" s="19"/>
      <c r="DL2650" s="13"/>
    </row>
    <row r="2651" spans="107:116" ht="12.75" customHeight="1">
      <c r="DC2651" s="19"/>
      <c r="DL2651" s="13"/>
    </row>
    <row r="2652" spans="107:116" ht="12.75" customHeight="1">
      <c r="DC2652" s="19"/>
      <c r="DL2652" s="13"/>
    </row>
    <row r="2653" spans="107:116" ht="12.75" customHeight="1">
      <c r="DC2653" s="19"/>
      <c r="DL2653" s="13"/>
    </row>
    <row r="2654" spans="107:116" ht="12.75" customHeight="1">
      <c r="DC2654" s="19"/>
      <c r="DL2654" s="13"/>
    </row>
    <row r="2655" spans="107:116" ht="12.75" customHeight="1">
      <c r="DC2655" s="19"/>
      <c r="DL2655" s="13"/>
    </row>
    <row r="2656" spans="107:116" ht="12.75" customHeight="1">
      <c r="DC2656" s="19"/>
      <c r="DL2656" s="13"/>
    </row>
    <row r="2657" spans="107:116" ht="12.75" customHeight="1">
      <c r="DC2657" s="19"/>
      <c r="DL2657" s="13"/>
    </row>
    <row r="2658" spans="107:116" ht="12.75" customHeight="1">
      <c r="DC2658" s="19"/>
      <c r="DL2658" s="13"/>
    </row>
    <row r="2659" spans="107:116" ht="12.75" customHeight="1">
      <c r="DC2659" s="19"/>
      <c r="DL2659" s="13"/>
    </row>
    <row r="2660" spans="107:116" ht="12.75" customHeight="1">
      <c r="DC2660" s="19"/>
      <c r="DL2660" s="13"/>
    </row>
    <row r="2661" spans="107:116" ht="12.75" customHeight="1">
      <c r="DC2661" s="19"/>
      <c r="DL2661" s="13"/>
    </row>
    <row r="2662" spans="107:116" ht="12.75" customHeight="1">
      <c r="DC2662" s="19"/>
      <c r="DL2662" s="13"/>
    </row>
    <row r="2663" spans="107:116" ht="12.75" customHeight="1">
      <c r="DC2663" s="19"/>
      <c r="DL2663" s="13"/>
    </row>
    <row r="2664" spans="107:116" ht="12.75" customHeight="1">
      <c r="DC2664" s="19"/>
      <c r="DL2664" s="13"/>
    </row>
    <row r="2665" spans="107:116" ht="12.75" customHeight="1">
      <c r="DC2665" s="19"/>
      <c r="DL2665" s="13"/>
    </row>
    <row r="2666" spans="107:116" ht="12.75" customHeight="1">
      <c r="DC2666" s="19"/>
      <c r="DL2666" s="13"/>
    </row>
    <row r="2667" spans="107:116" ht="12.75" customHeight="1">
      <c r="DC2667" s="19"/>
      <c r="DL2667" s="13"/>
    </row>
    <row r="2668" spans="107:116" ht="12.75" customHeight="1">
      <c r="DC2668" s="19"/>
      <c r="DL2668" s="13"/>
    </row>
    <row r="2669" spans="107:116" ht="12.75" customHeight="1">
      <c r="DC2669" s="19"/>
      <c r="DL2669" s="13"/>
    </row>
    <row r="2670" spans="107:116" ht="12.75" customHeight="1">
      <c r="DC2670" s="19"/>
      <c r="DL2670" s="13"/>
    </row>
    <row r="2671" spans="107:116" ht="12.75" customHeight="1">
      <c r="DC2671" s="19"/>
      <c r="DL2671" s="13"/>
    </row>
    <row r="2672" spans="107:116" ht="12.75" customHeight="1">
      <c r="DC2672" s="19"/>
      <c r="DL2672" s="13"/>
    </row>
    <row r="2673" spans="107:116" ht="12.75" customHeight="1">
      <c r="DC2673" s="19"/>
      <c r="DL2673" s="13"/>
    </row>
    <row r="2674" spans="107:116" ht="12.75" customHeight="1">
      <c r="DC2674" s="19"/>
      <c r="DL2674" s="13"/>
    </row>
    <row r="2675" spans="107:116" ht="12.75" customHeight="1">
      <c r="DC2675" s="19"/>
      <c r="DL2675" s="13"/>
    </row>
    <row r="2676" spans="107:116" ht="12.75" customHeight="1">
      <c r="DC2676" s="19"/>
      <c r="DL2676" s="13"/>
    </row>
    <row r="2677" spans="107:116" ht="12.75" customHeight="1">
      <c r="DC2677" s="19"/>
      <c r="DL2677" s="13"/>
    </row>
    <row r="2678" spans="107:116" ht="12.75" customHeight="1">
      <c r="DC2678" s="19"/>
      <c r="DL2678" s="13"/>
    </row>
    <row r="2679" spans="107:116" ht="12.75" customHeight="1">
      <c r="DC2679" s="19"/>
      <c r="DL2679" s="13"/>
    </row>
    <row r="2680" spans="107:116" ht="12.75" customHeight="1">
      <c r="DC2680" s="19"/>
      <c r="DL2680" s="13"/>
    </row>
    <row r="2681" spans="107:116" ht="12.75" customHeight="1">
      <c r="DC2681" s="19"/>
      <c r="DL2681" s="13"/>
    </row>
    <row r="2682" spans="107:116" ht="12.75" customHeight="1">
      <c r="DC2682" s="19"/>
      <c r="DL2682" s="13"/>
    </row>
    <row r="2683" spans="107:116" ht="12.75" customHeight="1">
      <c r="DC2683" s="19"/>
      <c r="DL2683" s="13"/>
    </row>
    <row r="2684" spans="107:116" ht="12.75" customHeight="1">
      <c r="DC2684" s="19"/>
      <c r="DL2684" s="13"/>
    </row>
    <row r="2685" spans="107:116" ht="12.75" customHeight="1">
      <c r="DC2685" s="19"/>
      <c r="DL2685" s="13"/>
    </row>
    <row r="2686" spans="107:116" ht="12.75" customHeight="1">
      <c r="DC2686" s="19"/>
      <c r="DL2686" s="13"/>
    </row>
    <row r="2687" spans="107:116" ht="12.75" customHeight="1">
      <c r="DC2687" s="19"/>
      <c r="DL2687" s="13"/>
    </row>
    <row r="2688" spans="107:116" ht="12.75" customHeight="1">
      <c r="DC2688" s="19"/>
      <c r="DL2688" s="13"/>
    </row>
    <row r="2689" spans="107:116" ht="12.75" customHeight="1">
      <c r="DC2689" s="19"/>
      <c r="DL2689" s="13"/>
    </row>
    <row r="2690" spans="107:116" ht="12.75" customHeight="1">
      <c r="DC2690" s="19"/>
      <c r="DL2690" s="13"/>
    </row>
    <row r="2691" spans="107:116" ht="12.75" customHeight="1">
      <c r="DC2691" s="19"/>
      <c r="DL2691" s="13"/>
    </row>
    <row r="2692" spans="107:116" ht="12.75" customHeight="1">
      <c r="DC2692" s="19"/>
      <c r="DL2692" s="13"/>
    </row>
    <row r="2693" spans="107:116" ht="12.75" customHeight="1">
      <c r="DC2693" s="19"/>
      <c r="DL2693" s="13"/>
    </row>
    <row r="2694" spans="107:116" ht="12.75" customHeight="1">
      <c r="DC2694" s="19"/>
      <c r="DL2694" s="13"/>
    </row>
    <row r="2695" spans="107:116" ht="12.75" customHeight="1">
      <c r="DC2695" s="19"/>
      <c r="DL2695" s="13"/>
    </row>
    <row r="2696" spans="107:116" ht="12.75" customHeight="1">
      <c r="DC2696" s="19"/>
      <c r="DL2696" s="13"/>
    </row>
    <row r="2697" spans="107:116" ht="12.75" customHeight="1">
      <c r="DC2697" s="19"/>
      <c r="DL2697" s="13"/>
    </row>
    <row r="2698" spans="107:116" ht="12.75" customHeight="1">
      <c r="DC2698" s="19"/>
      <c r="DL2698" s="13"/>
    </row>
    <row r="2699" spans="107:116" ht="12.75" customHeight="1">
      <c r="DC2699" s="19"/>
      <c r="DL2699" s="13"/>
    </row>
    <row r="2700" spans="107:116" ht="12.75" customHeight="1">
      <c r="DC2700" s="19"/>
      <c r="DL2700" s="13"/>
    </row>
    <row r="2701" spans="107:116" ht="12.75" customHeight="1">
      <c r="DC2701" s="19"/>
      <c r="DL2701" s="13"/>
    </row>
    <row r="2702" spans="107:116" ht="12.75" customHeight="1">
      <c r="DC2702" s="19"/>
      <c r="DL2702" s="13"/>
    </row>
    <row r="2703" spans="107:116" ht="12.75" customHeight="1">
      <c r="DC2703" s="19"/>
      <c r="DL2703" s="13"/>
    </row>
    <row r="2704" spans="107:116" ht="12.75" customHeight="1">
      <c r="DC2704" s="19"/>
      <c r="DL2704" s="13"/>
    </row>
    <row r="2705" spans="107:116" ht="12.75" customHeight="1">
      <c r="DC2705" s="19"/>
      <c r="DL2705" s="13"/>
    </row>
    <row r="2706" spans="107:116" ht="12.75" customHeight="1">
      <c r="DC2706" s="19"/>
      <c r="DL2706" s="13"/>
    </row>
    <row r="2707" spans="107:116" ht="12.75" customHeight="1">
      <c r="DC2707" s="19"/>
      <c r="DL2707" s="13"/>
    </row>
    <row r="2708" spans="107:116" ht="12.75" customHeight="1">
      <c r="DC2708" s="19"/>
      <c r="DL2708" s="13"/>
    </row>
    <row r="2709" spans="107:116" ht="12.75" customHeight="1">
      <c r="DC2709" s="19"/>
      <c r="DL2709" s="13"/>
    </row>
    <row r="2710" spans="107:116" ht="12.75" customHeight="1">
      <c r="DC2710" s="19"/>
      <c r="DL2710" s="13"/>
    </row>
    <row r="2711" spans="107:116" ht="12.75" customHeight="1">
      <c r="DC2711" s="19"/>
      <c r="DL2711" s="13"/>
    </row>
    <row r="2712" spans="107:116" ht="12.75" customHeight="1">
      <c r="DC2712" s="19"/>
      <c r="DL2712" s="13"/>
    </row>
    <row r="2713" spans="107:116" ht="12.75" customHeight="1">
      <c r="DC2713" s="19"/>
      <c r="DL2713" s="13"/>
    </row>
    <row r="2714" spans="107:116" ht="12.75" customHeight="1">
      <c r="DC2714" s="19"/>
      <c r="DL2714" s="13"/>
    </row>
    <row r="2715" spans="107:116" ht="12.75" customHeight="1">
      <c r="DC2715" s="19"/>
      <c r="DL2715" s="13"/>
    </row>
    <row r="2716" spans="107:116" ht="12.75" customHeight="1">
      <c r="DC2716" s="19"/>
      <c r="DL2716" s="13"/>
    </row>
    <row r="2717" spans="107:116" ht="12.75" customHeight="1">
      <c r="DC2717" s="19"/>
      <c r="DL2717" s="13"/>
    </row>
    <row r="2718" spans="107:116" ht="12.75" customHeight="1">
      <c r="DC2718" s="19"/>
      <c r="DL2718" s="13"/>
    </row>
    <row r="2719" spans="107:116" ht="12.75" customHeight="1">
      <c r="DC2719" s="19"/>
      <c r="DL2719" s="13"/>
    </row>
    <row r="2720" spans="107:116" ht="12.75" customHeight="1">
      <c r="DC2720" s="19"/>
      <c r="DL2720" s="13"/>
    </row>
    <row r="2721" spans="107:116" ht="12.75" customHeight="1">
      <c r="DC2721" s="19"/>
      <c r="DL2721" s="13"/>
    </row>
    <row r="2722" spans="107:116" ht="12.75" customHeight="1">
      <c r="DC2722" s="19"/>
      <c r="DL2722" s="13"/>
    </row>
    <row r="2723" spans="107:116" ht="12.75" customHeight="1">
      <c r="DC2723" s="19"/>
      <c r="DL2723" s="13"/>
    </row>
    <row r="2724" spans="107:116" ht="12.75" customHeight="1">
      <c r="DC2724" s="19"/>
      <c r="DL2724" s="13"/>
    </row>
    <row r="2725" spans="107:116" ht="12.75" customHeight="1">
      <c r="DC2725" s="19"/>
      <c r="DL2725" s="13"/>
    </row>
    <row r="2726" spans="107:116" ht="12.75" customHeight="1">
      <c r="DC2726" s="19"/>
      <c r="DL2726" s="13"/>
    </row>
    <row r="2727" spans="107:116" ht="12.75" customHeight="1">
      <c r="DC2727" s="19"/>
      <c r="DL2727" s="13"/>
    </row>
    <row r="2728" spans="107:116" ht="12.75" customHeight="1">
      <c r="DC2728" s="19"/>
      <c r="DL2728" s="13"/>
    </row>
    <row r="2729" spans="107:116" ht="12.75" customHeight="1">
      <c r="DC2729" s="19"/>
      <c r="DL2729" s="13"/>
    </row>
    <row r="2730" spans="107:116" ht="12.75" customHeight="1">
      <c r="DC2730" s="19"/>
      <c r="DL2730" s="13"/>
    </row>
    <row r="2731" spans="107:116" ht="12.75" customHeight="1">
      <c r="DC2731" s="19"/>
      <c r="DL2731" s="13"/>
    </row>
    <row r="2732" spans="107:116" ht="12.75" customHeight="1">
      <c r="DC2732" s="19"/>
      <c r="DL2732" s="13"/>
    </row>
    <row r="2733" spans="107:116" ht="12.75" customHeight="1">
      <c r="DC2733" s="19"/>
      <c r="DL2733" s="13"/>
    </row>
    <row r="2734" spans="107:116" ht="12.75" customHeight="1">
      <c r="DC2734" s="19"/>
      <c r="DL2734" s="13"/>
    </row>
    <row r="2735" spans="107:116" ht="12.75" customHeight="1">
      <c r="DC2735" s="19"/>
      <c r="DL2735" s="13"/>
    </row>
    <row r="2736" spans="107:116" ht="12.75" customHeight="1">
      <c r="DC2736" s="19"/>
      <c r="DL2736" s="13"/>
    </row>
    <row r="2737" spans="107:116" ht="12.75" customHeight="1">
      <c r="DC2737" s="19"/>
      <c r="DL2737" s="13"/>
    </row>
    <row r="2738" spans="107:116" ht="12.75" customHeight="1">
      <c r="DC2738" s="19"/>
      <c r="DL2738" s="13"/>
    </row>
    <row r="2739" spans="107:116" ht="12.75" customHeight="1">
      <c r="DC2739" s="19"/>
      <c r="DL2739" s="13"/>
    </row>
    <row r="2740" spans="107:116" ht="12.75" customHeight="1">
      <c r="DC2740" s="19"/>
      <c r="DL2740" s="13"/>
    </row>
    <row r="2741" spans="107:116" ht="12.75" customHeight="1">
      <c r="DC2741" s="19"/>
      <c r="DL2741" s="13"/>
    </row>
    <row r="2742" spans="107:116" ht="12.75" customHeight="1">
      <c r="DC2742" s="19"/>
      <c r="DL2742" s="13"/>
    </row>
    <row r="2743" spans="107:116" ht="12.75" customHeight="1">
      <c r="DC2743" s="19"/>
      <c r="DL2743" s="13"/>
    </row>
    <row r="2744" spans="107:116" ht="12.75" customHeight="1">
      <c r="DC2744" s="19"/>
      <c r="DL2744" s="13"/>
    </row>
    <row r="2745" spans="107:116" ht="12.75" customHeight="1">
      <c r="DC2745" s="19"/>
      <c r="DL2745" s="13"/>
    </row>
    <row r="2746" spans="107:116" ht="12.75" customHeight="1">
      <c r="DC2746" s="19"/>
      <c r="DL2746" s="13"/>
    </row>
    <row r="2747" spans="107:116" ht="12.75" customHeight="1">
      <c r="DC2747" s="19"/>
      <c r="DL2747" s="13"/>
    </row>
    <row r="2748" spans="107:116" ht="12.75" customHeight="1">
      <c r="DC2748" s="19"/>
      <c r="DL2748" s="13"/>
    </row>
    <row r="2749" spans="107:116" ht="12.75" customHeight="1">
      <c r="DC2749" s="19"/>
      <c r="DL2749" s="13"/>
    </row>
    <row r="2750" spans="107:116" ht="12.75" customHeight="1">
      <c r="DC2750" s="19"/>
      <c r="DL2750" s="13"/>
    </row>
    <row r="2751" spans="107:116" ht="12.75" customHeight="1">
      <c r="DC2751" s="19"/>
      <c r="DL2751" s="13"/>
    </row>
    <row r="2752" spans="107:116" ht="12.75" customHeight="1">
      <c r="DC2752" s="19"/>
      <c r="DL2752" s="13"/>
    </row>
    <row r="2753" spans="107:116" ht="12.75" customHeight="1">
      <c r="DC2753" s="19"/>
      <c r="DL2753" s="13"/>
    </row>
    <row r="2754" spans="107:116" ht="12.75" customHeight="1">
      <c r="DC2754" s="19"/>
      <c r="DL2754" s="13"/>
    </row>
    <row r="2755" spans="107:116" ht="12.75" customHeight="1">
      <c r="DC2755" s="19"/>
      <c r="DL2755" s="13"/>
    </row>
    <row r="2756" spans="107:116" ht="12.75" customHeight="1">
      <c r="DC2756" s="19"/>
      <c r="DL2756" s="13"/>
    </row>
    <row r="2757" spans="107:116" ht="12.75" customHeight="1">
      <c r="DC2757" s="19"/>
      <c r="DL2757" s="13"/>
    </row>
    <row r="2758" spans="107:116" ht="12.75" customHeight="1">
      <c r="DC2758" s="19"/>
      <c r="DL2758" s="13"/>
    </row>
    <row r="2759" spans="107:116" ht="12.75" customHeight="1">
      <c r="DC2759" s="19"/>
      <c r="DL2759" s="13"/>
    </row>
    <row r="2760" spans="107:116" ht="12.75" customHeight="1">
      <c r="DC2760" s="19"/>
      <c r="DL2760" s="13"/>
    </row>
    <row r="2761" spans="107:116" ht="12.75" customHeight="1">
      <c r="DC2761" s="19"/>
      <c r="DL2761" s="13"/>
    </row>
    <row r="2762" spans="107:116" ht="12.75" customHeight="1">
      <c r="DC2762" s="19"/>
      <c r="DL2762" s="13"/>
    </row>
    <row r="2763" spans="107:116" ht="12.75" customHeight="1">
      <c r="DC2763" s="19"/>
      <c r="DL2763" s="13"/>
    </row>
    <row r="2764" spans="107:116" ht="12.75" customHeight="1">
      <c r="DC2764" s="19"/>
      <c r="DL2764" s="13"/>
    </row>
    <row r="2765" spans="107:116" ht="12.75" customHeight="1">
      <c r="DC2765" s="19"/>
      <c r="DL2765" s="13"/>
    </row>
    <row r="2766" spans="107:116" ht="12.75" customHeight="1">
      <c r="DC2766" s="19"/>
      <c r="DL2766" s="13"/>
    </row>
    <row r="2767" spans="107:116" ht="12.75" customHeight="1">
      <c r="DC2767" s="19"/>
      <c r="DL2767" s="13"/>
    </row>
    <row r="2768" spans="107:116" ht="12.75" customHeight="1">
      <c r="DC2768" s="19"/>
      <c r="DL2768" s="13"/>
    </row>
    <row r="2769" spans="107:116" ht="12.75" customHeight="1">
      <c r="DC2769" s="19"/>
      <c r="DL2769" s="13"/>
    </row>
    <row r="2770" spans="107:116" ht="12.75" customHeight="1">
      <c r="DC2770" s="19"/>
      <c r="DL2770" s="13"/>
    </row>
    <row r="2771" spans="107:116" ht="12.75" customHeight="1">
      <c r="DC2771" s="19"/>
      <c r="DL2771" s="13"/>
    </row>
    <row r="2772" spans="107:116" ht="12.75" customHeight="1">
      <c r="DC2772" s="19"/>
      <c r="DL2772" s="13"/>
    </row>
    <row r="2773" spans="107:116" ht="12.75" customHeight="1">
      <c r="DC2773" s="19"/>
      <c r="DL2773" s="13"/>
    </row>
    <row r="2774" spans="107:116" ht="12.75" customHeight="1">
      <c r="DC2774" s="19"/>
      <c r="DL2774" s="13"/>
    </row>
    <row r="2775" spans="107:116" ht="12.75" customHeight="1">
      <c r="DC2775" s="19"/>
      <c r="DL2775" s="13"/>
    </row>
    <row r="2776" spans="107:116" ht="12.75" customHeight="1">
      <c r="DC2776" s="19"/>
      <c r="DL2776" s="13"/>
    </row>
    <row r="2777" spans="107:116" ht="12.75" customHeight="1">
      <c r="DC2777" s="19"/>
      <c r="DL2777" s="13"/>
    </row>
    <row r="2778" spans="107:116" ht="12.75" customHeight="1">
      <c r="DC2778" s="19"/>
      <c r="DL2778" s="13"/>
    </row>
    <row r="2779" spans="107:116" ht="12.75" customHeight="1">
      <c r="DC2779" s="19"/>
      <c r="DL2779" s="13"/>
    </row>
    <row r="2780" spans="107:116" ht="12.75" customHeight="1">
      <c r="DC2780" s="19"/>
      <c r="DL2780" s="13"/>
    </row>
    <row r="2781" spans="107:116" ht="12.75" customHeight="1">
      <c r="DC2781" s="19"/>
      <c r="DL2781" s="13"/>
    </row>
    <row r="2782" spans="107:116" ht="12.75" customHeight="1">
      <c r="DC2782" s="19"/>
      <c r="DL2782" s="13"/>
    </row>
    <row r="2783" spans="107:116" ht="12.75" customHeight="1">
      <c r="DC2783" s="19"/>
      <c r="DL2783" s="13"/>
    </row>
    <row r="2784" spans="107:116" ht="12.75" customHeight="1">
      <c r="DC2784" s="19"/>
      <c r="DL2784" s="13"/>
    </row>
    <row r="2785" spans="107:116" ht="12.75" customHeight="1">
      <c r="DC2785" s="19"/>
      <c r="DL2785" s="13"/>
    </row>
    <row r="2786" spans="107:116" ht="12.75" customHeight="1">
      <c r="DC2786" s="19"/>
      <c r="DL2786" s="13"/>
    </row>
    <row r="2787" spans="107:116" ht="12.75" customHeight="1">
      <c r="DC2787" s="19"/>
      <c r="DL2787" s="13"/>
    </row>
    <row r="2788" spans="107:116" ht="12.75" customHeight="1">
      <c r="DC2788" s="19"/>
      <c r="DL2788" s="13"/>
    </row>
    <row r="2789" spans="107:116" ht="12.75" customHeight="1">
      <c r="DC2789" s="19"/>
      <c r="DL2789" s="13"/>
    </row>
    <row r="2790" spans="107:116" ht="12.75" customHeight="1">
      <c r="DC2790" s="19"/>
      <c r="DL2790" s="13"/>
    </row>
    <row r="2791" spans="107:116" ht="12.75" customHeight="1">
      <c r="DC2791" s="19"/>
      <c r="DL2791" s="13"/>
    </row>
    <row r="2792" spans="107:116" ht="12.75" customHeight="1">
      <c r="DC2792" s="19"/>
      <c r="DL2792" s="13"/>
    </row>
    <row r="2793" spans="107:116" ht="12.75" customHeight="1">
      <c r="DC2793" s="19"/>
      <c r="DL2793" s="13"/>
    </row>
    <row r="2794" spans="107:116" ht="12.75" customHeight="1">
      <c r="DC2794" s="19"/>
      <c r="DL2794" s="13"/>
    </row>
    <row r="2795" spans="107:116" ht="12.75" customHeight="1">
      <c r="DC2795" s="19"/>
      <c r="DL2795" s="13"/>
    </row>
    <row r="2796" spans="107:116" ht="12.75" customHeight="1">
      <c r="DC2796" s="19"/>
      <c r="DL2796" s="13"/>
    </row>
    <row r="2797" spans="107:116" ht="12.75" customHeight="1">
      <c r="DC2797" s="19"/>
      <c r="DL2797" s="13"/>
    </row>
    <row r="2798" spans="107:116" ht="12.75" customHeight="1">
      <c r="DC2798" s="19"/>
      <c r="DL2798" s="13"/>
    </row>
    <row r="2799" spans="107:116" ht="12.75" customHeight="1">
      <c r="DC2799" s="19"/>
      <c r="DL2799" s="13"/>
    </row>
    <row r="2800" spans="107:116" ht="12.75" customHeight="1">
      <c r="DC2800" s="19"/>
      <c r="DL2800" s="13"/>
    </row>
    <row r="2801" spans="107:116" ht="12.75" customHeight="1">
      <c r="DC2801" s="19"/>
      <c r="DL2801" s="13"/>
    </row>
    <row r="2802" spans="107:116" ht="12.75" customHeight="1">
      <c r="DC2802" s="19"/>
      <c r="DL2802" s="13"/>
    </row>
    <row r="2803" spans="107:116" ht="12.75" customHeight="1">
      <c r="DC2803" s="19"/>
      <c r="DL2803" s="13"/>
    </row>
    <row r="2804" spans="107:116" ht="12.75" customHeight="1">
      <c r="DC2804" s="19"/>
      <c r="DL2804" s="13"/>
    </row>
    <row r="2805" spans="107:116" ht="12.75" customHeight="1">
      <c r="DC2805" s="19"/>
      <c r="DL2805" s="13"/>
    </row>
    <row r="2806" spans="107:116" ht="12.75" customHeight="1">
      <c r="DC2806" s="19"/>
      <c r="DL2806" s="13"/>
    </row>
    <row r="2807" spans="107:116" ht="12.75" customHeight="1">
      <c r="DC2807" s="19"/>
      <c r="DL2807" s="13"/>
    </row>
    <row r="2808" spans="107:116" ht="12.75" customHeight="1">
      <c r="DC2808" s="19"/>
      <c r="DL2808" s="13"/>
    </row>
    <row r="2809" spans="107:116" ht="12.75" customHeight="1">
      <c r="DC2809" s="19"/>
      <c r="DL2809" s="13"/>
    </row>
    <row r="2810" spans="107:116" ht="12.75" customHeight="1">
      <c r="DC2810" s="19"/>
      <c r="DL2810" s="13"/>
    </row>
    <row r="2811" spans="107:116" ht="12.75" customHeight="1">
      <c r="DC2811" s="19"/>
      <c r="DL2811" s="13"/>
    </row>
    <row r="2812" spans="107:116" ht="12.75" customHeight="1">
      <c r="DC2812" s="19"/>
      <c r="DL2812" s="13"/>
    </row>
    <row r="2813" spans="107:116" ht="12.75" customHeight="1">
      <c r="DC2813" s="19"/>
      <c r="DL2813" s="13"/>
    </row>
    <row r="2814" spans="107:116" ht="12.75" customHeight="1">
      <c r="DC2814" s="19"/>
      <c r="DL2814" s="13"/>
    </row>
    <row r="2815" spans="107:116" ht="12.75" customHeight="1">
      <c r="DC2815" s="19"/>
      <c r="DL2815" s="13"/>
    </row>
    <row r="2816" spans="107:116" ht="12.75" customHeight="1">
      <c r="DC2816" s="19"/>
      <c r="DL2816" s="13"/>
    </row>
    <row r="2817" spans="107:116" ht="12.75" customHeight="1">
      <c r="DC2817" s="19"/>
      <c r="DL2817" s="13"/>
    </row>
    <row r="2818" spans="107:116" ht="12.75" customHeight="1">
      <c r="DC2818" s="19"/>
      <c r="DL2818" s="13"/>
    </row>
    <row r="2819" spans="107:116" ht="12.75" customHeight="1">
      <c r="DC2819" s="19"/>
      <c r="DL2819" s="13"/>
    </row>
    <row r="2820" spans="107:116" ht="12.75" customHeight="1">
      <c r="DC2820" s="19"/>
      <c r="DL2820" s="13"/>
    </row>
    <row r="2821" spans="107:116" ht="12.75" customHeight="1">
      <c r="DC2821" s="19"/>
      <c r="DL2821" s="13"/>
    </row>
    <row r="2822" spans="107:116" ht="12.75" customHeight="1">
      <c r="DC2822" s="19"/>
      <c r="DL2822" s="13"/>
    </row>
    <row r="2823" spans="107:116" ht="12.75" customHeight="1">
      <c r="DC2823" s="19"/>
      <c r="DL2823" s="13"/>
    </row>
    <row r="2824" spans="107:116" ht="12.75" customHeight="1">
      <c r="DC2824" s="19"/>
      <c r="DL2824" s="13"/>
    </row>
    <row r="2825" spans="107:116" ht="12.75" customHeight="1">
      <c r="DC2825" s="19"/>
      <c r="DL2825" s="13"/>
    </row>
    <row r="2826" spans="107:116" ht="12.75" customHeight="1">
      <c r="DC2826" s="19"/>
      <c r="DL2826" s="13"/>
    </row>
    <row r="2827" spans="107:116" ht="12.75" customHeight="1">
      <c r="DC2827" s="19"/>
      <c r="DL2827" s="13"/>
    </row>
    <row r="2828" spans="107:116" ht="12.75" customHeight="1">
      <c r="DC2828" s="19"/>
      <c r="DL2828" s="13"/>
    </row>
    <row r="2829" spans="107:116" ht="12.75" customHeight="1">
      <c r="DC2829" s="19"/>
      <c r="DL2829" s="13"/>
    </row>
    <row r="2830" spans="107:116" ht="12.75" customHeight="1">
      <c r="DC2830" s="19"/>
      <c r="DL2830" s="13"/>
    </row>
    <row r="2831" spans="107:116" ht="12.75" customHeight="1">
      <c r="DC2831" s="19"/>
      <c r="DL2831" s="13"/>
    </row>
    <row r="2832" spans="107:116" ht="12.75" customHeight="1">
      <c r="DC2832" s="19"/>
      <c r="DL2832" s="13"/>
    </row>
    <row r="2833" spans="107:116" ht="12.75" customHeight="1">
      <c r="DC2833" s="19"/>
      <c r="DL2833" s="13"/>
    </row>
    <row r="2834" spans="107:116" ht="12.75" customHeight="1">
      <c r="DC2834" s="19"/>
      <c r="DL2834" s="13"/>
    </row>
    <row r="2835" spans="107:116" ht="12.75" customHeight="1">
      <c r="DC2835" s="19"/>
      <c r="DL2835" s="13"/>
    </row>
    <row r="2836" spans="107:116" ht="12.75" customHeight="1">
      <c r="DC2836" s="19"/>
      <c r="DL2836" s="13"/>
    </row>
    <row r="2837" spans="107:116" ht="12.75" customHeight="1">
      <c r="DC2837" s="19"/>
      <c r="DL2837" s="13"/>
    </row>
    <row r="2838" spans="107:116" ht="12.75" customHeight="1">
      <c r="DC2838" s="19"/>
      <c r="DL2838" s="13"/>
    </row>
    <row r="2839" spans="107:116" ht="12.75" customHeight="1">
      <c r="DC2839" s="19"/>
      <c r="DL2839" s="13"/>
    </row>
    <row r="2840" spans="107:116" ht="12.75" customHeight="1">
      <c r="DC2840" s="19"/>
      <c r="DL2840" s="13"/>
    </row>
    <row r="2841" spans="107:116" ht="12.75" customHeight="1">
      <c r="DC2841" s="19"/>
      <c r="DL2841" s="13"/>
    </row>
    <row r="2842" spans="107:116" ht="12.75" customHeight="1">
      <c r="DC2842" s="19"/>
      <c r="DL2842" s="13"/>
    </row>
    <row r="2843" spans="107:116" ht="12.75" customHeight="1">
      <c r="DC2843" s="19"/>
      <c r="DL2843" s="13"/>
    </row>
    <row r="2844" spans="107:116" ht="12.75" customHeight="1">
      <c r="DC2844" s="19"/>
      <c r="DL2844" s="13"/>
    </row>
    <row r="2845" spans="107:116" ht="12.75" customHeight="1">
      <c r="DC2845" s="19"/>
      <c r="DL2845" s="13"/>
    </row>
    <row r="2846" spans="107:116" ht="12.75" customHeight="1">
      <c r="DC2846" s="19"/>
      <c r="DL2846" s="13"/>
    </row>
    <row r="2847" spans="107:116" ht="12.75" customHeight="1">
      <c r="DC2847" s="19"/>
      <c r="DL2847" s="13"/>
    </row>
    <row r="2848" spans="107:116" ht="12.75" customHeight="1">
      <c r="DC2848" s="19"/>
      <c r="DL2848" s="13"/>
    </row>
    <row r="2849" spans="107:116" ht="12.75" customHeight="1">
      <c r="DC2849" s="19"/>
      <c r="DL2849" s="13"/>
    </row>
    <row r="2850" spans="107:116" ht="12.75" customHeight="1">
      <c r="DC2850" s="19"/>
      <c r="DL2850" s="13"/>
    </row>
    <row r="2851" spans="107:116" ht="12.75" customHeight="1">
      <c r="DC2851" s="19"/>
      <c r="DL2851" s="13"/>
    </row>
    <row r="2852" spans="107:116" ht="12.75" customHeight="1">
      <c r="DC2852" s="19"/>
      <c r="DL2852" s="13"/>
    </row>
    <row r="2853" spans="107:116" ht="12.75" customHeight="1">
      <c r="DC2853" s="19"/>
      <c r="DL2853" s="13"/>
    </row>
    <row r="2854" spans="107:116" ht="12.75" customHeight="1">
      <c r="DC2854" s="19"/>
      <c r="DL2854" s="13"/>
    </row>
    <row r="2855" spans="107:116" ht="12.75" customHeight="1">
      <c r="DC2855" s="19"/>
      <c r="DL2855" s="13"/>
    </row>
    <row r="2856" spans="107:116" ht="12.75" customHeight="1">
      <c r="DC2856" s="19"/>
      <c r="DL2856" s="13"/>
    </row>
    <row r="2857" spans="107:116" ht="12.75" customHeight="1">
      <c r="DC2857" s="19"/>
      <c r="DL2857" s="13"/>
    </row>
    <row r="2858" spans="107:116" ht="12.75" customHeight="1">
      <c r="DC2858" s="19"/>
      <c r="DL2858" s="13"/>
    </row>
    <row r="2859" spans="107:116" ht="12.75" customHeight="1">
      <c r="DC2859" s="19"/>
      <c r="DL2859" s="13"/>
    </row>
    <row r="2860" spans="107:116" ht="12.75" customHeight="1">
      <c r="DC2860" s="19"/>
      <c r="DL2860" s="13"/>
    </row>
    <row r="2861" spans="107:116" ht="12.75" customHeight="1">
      <c r="DC2861" s="19"/>
      <c r="DL2861" s="13"/>
    </row>
    <row r="2862" spans="107:116" ht="12.75" customHeight="1">
      <c r="DC2862" s="19"/>
      <c r="DL2862" s="13"/>
    </row>
    <row r="2863" spans="107:116" ht="12.75" customHeight="1">
      <c r="DC2863" s="19"/>
      <c r="DL2863" s="13"/>
    </row>
    <row r="2864" spans="107:116" ht="12.75" customHeight="1">
      <c r="DC2864" s="19"/>
      <c r="DL2864" s="13"/>
    </row>
    <row r="2865" spans="107:116" ht="12.75" customHeight="1">
      <c r="DC2865" s="19"/>
      <c r="DL2865" s="13"/>
    </row>
    <row r="2866" spans="107:116" ht="12.75" customHeight="1">
      <c r="DC2866" s="19"/>
      <c r="DL2866" s="13"/>
    </row>
    <row r="2867" spans="107:116" ht="12.75" customHeight="1">
      <c r="DC2867" s="19"/>
      <c r="DL2867" s="13"/>
    </row>
    <row r="2868" spans="107:116" ht="12.75" customHeight="1">
      <c r="DC2868" s="19"/>
      <c r="DL2868" s="13"/>
    </row>
    <row r="2869" spans="107:116" ht="12.75" customHeight="1">
      <c r="DC2869" s="19"/>
      <c r="DL2869" s="13"/>
    </row>
    <row r="2870" spans="107:116" ht="12.75" customHeight="1">
      <c r="DC2870" s="19"/>
      <c r="DL2870" s="13"/>
    </row>
    <row r="2871" spans="107:116" ht="12.75" customHeight="1">
      <c r="DC2871" s="19"/>
      <c r="DL2871" s="13"/>
    </row>
    <row r="2872" spans="107:116" ht="12.75" customHeight="1">
      <c r="DC2872" s="19"/>
      <c r="DL2872" s="13"/>
    </row>
    <row r="2873" spans="107:116" ht="12.75" customHeight="1">
      <c r="DC2873" s="19"/>
      <c r="DL2873" s="13"/>
    </row>
    <row r="2874" spans="107:116" ht="12.75" customHeight="1">
      <c r="DC2874" s="19"/>
      <c r="DL2874" s="13"/>
    </row>
    <row r="2875" spans="107:116" ht="12.75" customHeight="1">
      <c r="DC2875" s="19"/>
      <c r="DL2875" s="13"/>
    </row>
    <row r="2876" spans="107:116" ht="12.75" customHeight="1">
      <c r="DC2876" s="19"/>
      <c r="DL2876" s="13"/>
    </row>
    <row r="2877" spans="107:116" ht="12.75" customHeight="1">
      <c r="DC2877" s="19"/>
      <c r="DL2877" s="13"/>
    </row>
    <row r="2878" spans="107:116" ht="12.75" customHeight="1">
      <c r="DC2878" s="19"/>
      <c r="DL2878" s="13"/>
    </row>
    <row r="2879" spans="107:116" ht="12.75" customHeight="1">
      <c r="DC2879" s="19"/>
      <c r="DL2879" s="13"/>
    </row>
    <row r="2880" spans="107:116" ht="12.75" customHeight="1">
      <c r="DC2880" s="19"/>
      <c r="DL2880" s="13"/>
    </row>
    <row r="2881" spans="107:116" ht="12.75" customHeight="1">
      <c r="DC2881" s="19"/>
      <c r="DL2881" s="13"/>
    </row>
    <row r="2882" spans="107:116" ht="12.75" customHeight="1">
      <c r="DC2882" s="19"/>
      <c r="DL2882" s="13"/>
    </row>
    <row r="2883" spans="107:116" ht="12.75" customHeight="1">
      <c r="DC2883" s="19"/>
      <c r="DL2883" s="13"/>
    </row>
    <row r="2884" spans="107:116" ht="12.75" customHeight="1">
      <c r="DC2884" s="19"/>
      <c r="DL2884" s="13"/>
    </row>
    <row r="2885" spans="107:116" ht="12.75" customHeight="1">
      <c r="DC2885" s="19"/>
      <c r="DL2885" s="13"/>
    </row>
    <row r="2886" spans="107:116" ht="12.75" customHeight="1">
      <c r="DC2886" s="19"/>
      <c r="DL2886" s="13"/>
    </row>
    <row r="2887" spans="107:116" ht="12.75" customHeight="1">
      <c r="DC2887" s="19"/>
      <c r="DL2887" s="13"/>
    </row>
    <row r="2888" spans="107:116" ht="12.75" customHeight="1">
      <c r="DC2888" s="19"/>
      <c r="DL2888" s="13"/>
    </row>
    <row r="2889" spans="107:116" ht="12.75" customHeight="1">
      <c r="DC2889" s="19"/>
      <c r="DL2889" s="13"/>
    </row>
    <row r="2890" spans="107:116" ht="12.75" customHeight="1">
      <c r="DC2890" s="19"/>
      <c r="DL2890" s="13"/>
    </row>
    <row r="2891" spans="107:116" ht="12.75" customHeight="1">
      <c r="DC2891" s="19"/>
      <c r="DL2891" s="13"/>
    </row>
    <row r="2892" spans="107:116" ht="12.75" customHeight="1">
      <c r="DC2892" s="19"/>
      <c r="DL2892" s="13"/>
    </row>
    <row r="2893" spans="107:116" ht="12.75" customHeight="1">
      <c r="DC2893" s="19"/>
      <c r="DL2893" s="13"/>
    </row>
    <row r="2894" spans="107:116" ht="12.75" customHeight="1">
      <c r="DC2894" s="19"/>
      <c r="DL2894" s="13"/>
    </row>
    <row r="2895" spans="107:116" ht="12.75" customHeight="1">
      <c r="DC2895" s="19"/>
      <c r="DL2895" s="13"/>
    </row>
    <row r="2896" spans="107:116" ht="12.75" customHeight="1">
      <c r="DC2896" s="19"/>
      <c r="DL2896" s="13"/>
    </row>
    <row r="2897" spans="107:116" ht="12.75" customHeight="1">
      <c r="DC2897" s="19"/>
      <c r="DL2897" s="13"/>
    </row>
    <row r="2898" spans="107:116" ht="12.75" customHeight="1">
      <c r="DC2898" s="19"/>
      <c r="DL2898" s="13"/>
    </row>
    <row r="2899" spans="107:116" ht="12.75" customHeight="1">
      <c r="DC2899" s="19"/>
      <c r="DL2899" s="13"/>
    </row>
    <row r="2900" spans="107:116" ht="12.75" customHeight="1">
      <c r="DC2900" s="19"/>
      <c r="DL2900" s="13"/>
    </row>
    <row r="2901" spans="107:116" ht="12.75" customHeight="1">
      <c r="DC2901" s="19"/>
      <c r="DL2901" s="13"/>
    </row>
    <row r="2902" spans="107:116" ht="12.75" customHeight="1">
      <c r="DC2902" s="19"/>
      <c r="DL2902" s="13"/>
    </row>
    <row r="2903" spans="107:116" ht="12.75" customHeight="1">
      <c r="DC2903" s="19"/>
      <c r="DL2903" s="13"/>
    </row>
    <row r="2904" spans="107:116" ht="12.75" customHeight="1">
      <c r="DC2904" s="19"/>
      <c r="DL2904" s="13"/>
    </row>
    <row r="2905" spans="107:116" ht="12.75" customHeight="1">
      <c r="DC2905" s="19"/>
      <c r="DL2905" s="13"/>
    </row>
    <row r="2906" spans="107:116" ht="12.75" customHeight="1">
      <c r="DC2906" s="19"/>
      <c r="DL2906" s="13"/>
    </row>
    <row r="2907" spans="107:116" ht="12.75" customHeight="1">
      <c r="DC2907" s="19"/>
      <c r="DL2907" s="13"/>
    </row>
    <row r="2908" spans="107:116" ht="12.75" customHeight="1">
      <c r="DC2908" s="19"/>
      <c r="DL2908" s="13"/>
    </row>
    <row r="2909" spans="107:116" ht="12.75" customHeight="1">
      <c r="DC2909" s="19"/>
      <c r="DL2909" s="13"/>
    </row>
    <row r="2910" spans="107:116" ht="12.75" customHeight="1">
      <c r="DC2910" s="19"/>
      <c r="DL2910" s="13"/>
    </row>
    <row r="2911" spans="107:116" ht="12.75" customHeight="1">
      <c r="DC2911" s="19"/>
      <c r="DL2911" s="13"/>
    </row>
    <row r="2912" spans="107:116" ht="12.75" customHeight="1">
      <c r="DC2912" s="19"/>
      <c r="DL2912" s="13"/>
    </row>
    <row r="2913" spans="107:116" ht="12.75" customHeight="1">
      <c r="DC2913" s="19"/>
      <c r="DL2913" s="13"/>
    </row>
    <row r="2914" spans="107:116" ht="12.75" customHeight="1">
      <c r="DC2914" s="19"/>
      <c r="DL2914" s="13"/>
    </row>
    <row r="2915" spans="107:116" ht="12.75" customHeight="1">
      <c r="DC2915" s="19"/>
      <c r="DL2915" s="13"/>
    </row>
    <row r="2916" spans="107:116" ht="12.75" customHeight="1">
      <c r="DC2916" s="19"/>
      <c r="DL2916" s="13"/>
    </row>
    <row r="2917" spans="107:116" ht="12.75" customHeight="1">
      <c r="DC2917" s="19"/>
      <c r="DL2917" s="13"/>
    </row>
    <row r="2918" spans="107:116" ht="12.75" customHeight="1">
      <c r="DC2918" s="19"/>
      <c r="DL2918" s="13"/>
    </row>
    <row r="2919" spans="107:116" ht="12.75" customHeight="1">
      <c r="DC2919" s="19"/>
      <c r="DL2919" s="13"/>
    </row>
    <row r="2920" spans="107:116" ht="12.75" customHeight="1">
      <c r="DC2920" s="19"/>
      <c r="DL2920" s="13"/>
    </row>
    <row r="2921" spans="107:116" ht="12.75" customHeight="1">
      <c r="DC2921" s="19"/>
      <c r="DL2921" s="13"/>
    </row>
    <row r="2922" spans="107:116" ht="12.75" customHeight="1">
      <c r="DC2922" s="19"/>
      <c r="DL2922" s="13"/>
    </row>
    <row r="2923" spans="107:116" ht="12.75" customHeight="1">
      <c r="DC2923" s="19"/>
      <c r="DL2923" s="13"/>
    </row>
    <row r="2924" spans="107:116" ht="12.75" customHeight="1">
      <c r="DC2924" s="19"/>
      <c r="DL2924" s="13"/>
    </row>
    <row r="2925" spans="107:116" ht="12.75" customHeight="1">
      <c r="DC2925" s="19"/>
      <c r="DL2925" s="13"/>
    </row>
    <row r="2926" spans="107:116" ht="12.75" customHeight="1">
      <c r="DC2926" s="19"/>
      <c r="DL2926" s="13"/>
    </row>
    <row r="2927" spans="107:116" ht="12.75" customHeight="1">
      <c r="DC2927" s="19"/>
      <c r="DL2927" s="13"/>
    </row>
    <row r="2928" spans="107:116" ht="12.75" customHeight="1">
      <c r="DC2928" s="19"/>
      <c r="DL2928" s="13"/>
    </row>
    <row r="2929" spans="107:116" ht="12.75" customHeight="1">
      <c r="DC2929" s="19"/>
      <c r="DL2929" s="13"/>
    </row>
    <row r="2930" spans="107:116" ht="12.75" customHeight="1">
      <c r="DC2930" s="19"/>
      <c r="DL2930" s="13"/>
    </row>
    <row r="2931" spans="107:116" ht="12.75" customHeight="1">
      <c r="DC2931" s="19"/>
      <c r="DL2931" s="13"/>
    </row>
    <row r="2932" spans="107:116" ht="12.75" customHeight="1">
      <c r="DC2932" s="19"/>
      <c r="DL2932" s="13"/>
    </row>
    <row r="2933" spans="107:116" ht="12.75" customHeight="1">
      <c r="DC2933" s="19"/>
      <c r="DL2933" s="13"/>
    </row>
    <row r="2934" spans="107:116" ht="12.75" customHeight="1">
      <c r="DC2934" s="19"/>
      <c r="DL2934" s="13"/>
    </row>
    <row r="2935" spans="107:116" ht="12.75" customHeight="1">
      <c r="DC2935" s="19"/>
      <c r="DL2935" s="13"/>
    </row>
    <row r="2936" spans="107:116" ht="12.75" customHeight="1">
      <c r="DC2936" s="19"/>
      <c r="DL2936" s="13"/>
    </row>
    <row r="2937" spans="107:116" ht="12.75" customHeight="1">
      <c r="DC2937" s="19"/>
      <c r="DL2937" s="13"/>
    </row>
    <row r="2938" spans="107:116" ht="12.75" customHeight="1">
      <c r="DC2938" s="19"/>
      <c r="DL2938" s="13"/>
    </row>
    <row r="2939" spans="107:116" ht="12.75" customHeight="1">
      <c r="DC2939" s="19"/>
      <c r="DL2939" s="13"/>
    </row>
    <row r="2940" spans="107:116" ht="12.75" customHeight="1">
      <c r="DC2940" s="19"/>
      <c r="DL2940" s="13"/>
    </row>
    <row r="2941" spans="107:116" ht="12.75" customHeight="1">
      <c r="DC2941" s="19"/>
      <c r="DL2941" s="13"/>
    </row>
    <row r="2942" spans="107:116" ht="12.75" customHeight="1">
      <c r="DC2942" s="19"/>
      <c r="DL2942" s="13"/>
    </row>
    <row r="2943" spans="107:116" ht="12.75" customHeight="1">
      <c r="DC2943" s="19"/>
      <c r="DL2943" s="13"/>
    </row>
    <row r="2944" spans="107:116" ht="12.75" customHeight="1">
      <c r="DC2944" s="19"/>
      <c r="DL2944" s="13"/>
    </row>
    <row r="2945" spans="107:116" ht="12.75" customHeight="1">
      <c r="DC2945" s="19"/>
      <c r="DL2945" s="13"/>
    </row>
    <row r="2946" spans="107:116" ht="12.75" customHeight="1">
      <c r="DC2946" s="19"/>
      <c r="DL2946" s="13"/>
    </row>
    <row r="2947" spans="107:116" ht="12.75" customHeight="1">
      <c r="DC2947" s="19"/>
      <c r="DL2947" s="13"/>
    </row>
    <row r="2948" spans="107:116" ht="12.75" customHeight="1">
      <c r="DC2948" s="19"/>
      <c r="DL2948" s="13"/>
    </row>
    <row r="2949" spans="107:116" ht="12.75" customHeight="1">
      <c r="DC2949" s="19"/>
      <c r="DL2949" s="13"/>
    </row>
    <row r="2950" spans="107:116" ht="12.75" customHeight="1">
      <c r="DC2950" s="19"/>
      <c r="DL2950" s="13"/>
    </row>
    <row r="2951" spans="107:116" ht="12.75" customHeight="1">
      <c r="DC2951" s="19"/>
      <c r="DL2951" s="13"/>
    </row>
    <row r="2952" spans="107:116" ht="12.75" customHeight="1">
      <c r="DC2952" s="19"/>
      <c r="DL2952" s="13"/>
    </row>
    <row r="2953" spans="107:116" ht="12.75" customHeight="1">
      <c r="DC2953" s="19"/>
      <c r="DL2953" s="13"/>
    </row>
    <row r="2954" spans="107:116" ht="12.75" customHeight="1">
      <c r="DC2954" s="19"/>
      <c r="DL2954" s="13"/>
    </row>
    <row r="2955" spans="107:116" ht="12.75" customHeight="1">
      <c r="DC2955" s="19"/>
      <c r="DL2955" s="13"/>
    </row>
    <row r="2956" spans="107:116" ht="12.75" customHeight="1">
      <c r="DC2956" s="19"/>
      <c r="DL2956" s="13"/>
    </row>
    <row r="2957" spans="107:116" ht="12.75" customHeight="1">
      <c r="DC2957" s="19"/>
      <c r="DL2957" s="13"/>
    </row>
    <row r="2958" spans="107:116" ht="12.75" customHeight="1">
      <c r="DC2958" s="19"/>
      <c r="DL2958" s="13"/>
    </row>
    <row r="2959" spans="107:116" ht="12.75" customHeight="1">
      <c r="DC2959" s="19"/>
      <c r="DL2959" s="13"/>
    </row>
    <row r="2960" spans="107:116" ht="12.75" customHeight="1">
      <c r="DC2960" s="19"/>
      <c r="DL2960" s="13"/>
    </row>
    <row r="2961" spans="107:116" ht="12.75" customHeight="1">
      <c r="DC2961" s="19"/>
      <c r="DL2961" s="13"/>
    </row>
    <row r="2962" spans="107:116" ht="12.75" customHeight="1">
      <c r="DC2962" s="19"/>
      <c r="DL2962" s="13"/>
    </row>
    <row r="2963" spans="107:116" ht="12.75" customHeight="1">
      <c r="DC2963" s="19"/>
      <c r="DL2963" s="13"/>
    </row>
    <row r="2964" spans="107:116" ht="12.75" customHeight="1">
      <c r="DC2964" s="19"/>
      <c r="DL2964" s="13"/>
    </row>
    <row r="2965" spans="107:116" ht="12.75" customHeight="1">
      <c r="DC2965" s="19"/>
      <c r="DL2965" s="13"/>
    </row>
    <row r="2966" spans="107:116" ht="12.75" customHeight="1">
      <c r="DC2966" s="19"/>
      <c r="DL2966" s="13"/>
    </row>
    <row r="2967" spans="107:116" ht="12.75" customHeight="1">
      <c r="DC2967" s="19"/>
      <c r="DL2967" s="13"/>
    </row>
    <row r="2968" spans="107:116" ht="12.75" customHeight="1">
      <c r="DC2968" s="19"/>
      <c r="DL2968" s="13"/>
    </row>
    <row r="2969" spans="107:116" ht="12.75" customHeight="1">
      <c r="DC2969" s="19"/>
      <c r="DL2969" s="13"/>
    </row>
    <row r="2970" spans="107:116" ht="12.75" customHeight="1">
      <c r="DC2970" s="19"/>
      <c r="DL2970" s="13"/>
    </row>
    <row r="2971" spans="107:116" ht="12.75" customHeight="1">
      <c r="DC2971" s="19"/>
      <c r="DL2971" s="13"/>
    </row>
    <row r="2972" spans="107:116" ht="12.75" customHeight="1">
      <c r="DC2972" s="19"/>
      <c r="DL2972" s="13"/>
    </row>
    <row r="2973" spans="107:116" ht="12.75" customHeight="1">
      <c r="DC2973" s="19"/>
      <c r="DL2973" s="13"/>
    </row>
    <row r="2974" spans="107:116" ht="12.75" customHeight="1">
      <c r="DC2974" s="19"/>
      <c r="DL2974" s="13"/>
    </row>
    <row r="2975" spans="107:116" ht="12.75" customHeight="1">
      <c r="DC2975" s="19"/>
      <c r="DL2975" s="13"/>
    </row>
    <row r="2976" spans="107:116" ht="12.75" customHeight="1">
      <c r="DC2976" s="19"/>
      <c r="DL2976" s="13"/>
    </row>
    <row r="2977" spans="101:116" ht="12.75" customHeight="1">
      <c r="DC2977" s="19"/>
      <c r="DL2977" s="13"/>
    </row>
    <row r="2978" spans="101:116" ht="12.75" customHeight="1">
      <c r="DC2978" s="19"/>
      <c r="DL2978" s="13"/>
    </row>
    <row r="2979" spans="101:116" ht="12.75" customHeight="1">
      <c r="DC2979" s="19"/>
      <c r="DL2979" s="13"/>
    </row>
    <row r="2980" spans="101:116" ht="12.75" customHeight="1">
      <c r="DC2980" s="19"/>
      <c r="DL2980" s="13"/>
    </row>
    <row r="2981" spans="101:116" ht="12.75" customHeight="1">
      <c r="CW2981" s="1"/>
      <c r="DC2981" s="19"/>
      <c r="DL2981" s="13"/>
    </row>
    <row r="2982" spans="101:116" ht="12.75" customHeight="1">
      <c r="CW2982" s="1"/>
      <c r="DC2982" s="19"/>
      <c r="DL2982" s="13"/>
    </row>
    <row r="2983" spans="101:116" ht="12.75" customHeight="1">
      <c r="CW2983" s="1"/>
      <c r="DC2983" s="19"/>
      <c r="DL2983" s="13"/>
    </row>
    <row r="2984" spans="101:116" ht="12.75" customHeight="1">
      <c r="CW2984" s="1"/>
      <c r="DC2984" s="19"/>
      <c r="DL2984" s="13"/>
    </row>
    <row r="2985" spans="101:116" ht="12.75" customHeight="1">
      <c r="CW2985" s="1"/>
      <c r="DC2985" s="19"/>
      <c r="DL2985" s="13"/>
    </row>
    <row r="2986" spans="101:116" ht="12.75" customHeight="1">
      <c r="CW2986" s="1"/>
      <c r="DC2986" s="19"/>
      <c r="DL2986" s="13"/>
    </row>
    <row r="2987" spans="101:116" ht="12.75" customHeight="1">
      <c r="CW2987" s="1"/>
      <c r="DC2987" s="19"/>
      <c r="DL2987" s="13"/>
    </row>
    <row r="2988" spans="101:116" ht="12.75" customHeight="1">
      <c r="CW2988" s="1"/>
      <c r="DC2988" s="19"/>
      <c r="DL2988" s="13"/>
    </row>
    <row r="2989" spans="101:116" ht="12.75" customHeight="1">
      <c r="CW2989" s="1"/>
      <c r="DC2989" s="19"/>
      <c r="DL2989" s="13"/>
    </row>
    <row r="2990" spans="101:116" ht="12.75" customHeight="1">
      <c r="CW2990" s="1"/>
      <c r="DC2990" s="19"/>
      <c r="DL2990" s="13"/>
    </row>
    <row r="2991" spans="101:116" ht="12.75" customHeight="1">
      <c r="CW2991" s="1"/>
      <c r="DC2991" s="19"/>
      <c r="DL2991" s="13"/>
    </row>
    <row r="2992" spans="101:116" ht="12.75" customHeight="1">
      <c r="CW2992" s="1"/>
      <c r="DC2992" s="19"/>
      <c r="DL2992" s="13"/>
    </row>
    <row r="2993" spans="101:116" ht="12.75" customHeight="1">
      <c r="CW2993" s="1"/>
      <c r="DC2993" s="19"/>
      <c r="DL2993" s="13"/>
    </row>
    <row r="2994" spans="101:116" ht="12.75" customHeight="1">
      <c r="CW2994" s="1"/>
      <c r="DC2994" s="19"/>
      <c r="DL2994" s="13"/>
    </row>
    <row r="2995" spans="101:116" ht="12.75" customHeight="1">
      <c r="CW2995" s="1"/>
      <c r="DC2995" s="19"/>
      <c r="DL2995" s="13"/>
    </row>
    <row r="2996" spans="101:116" ht="12.75" customHeight="1">
      <c r="CW2996" s="1"/>
      <c r="DC2996" s="19"/>
      <c r="DL2996" s="13"/>
    </row>
    <row r="2997" spans="101:116" ht="12.75" customHeight="1">
      <c r="CW2997" s="1"/>
      <c r="DC2997" s="19"/>
      <c r="DL2997" s="13"/>
    </row>
    <row r="2998" spans="101:116" ht="12.75" customHeight="1">
      <c r="CW2998" s="1"/>
      <c r="DC2998" s="19"/>
      <c r="DL2998" s="13"/>
    </row>
    <row r="2999" spans="101:116" ht="12.75" customHeight="1">
      <c r="CW2999" s="1"/>
      <c r="DC2999" s="19"/>
      <c r="DL2999" s="13"/>
    </row>
    <row r="3000" spans="101:116" ht="12.75" customHeight="1">
      <c r="CW3000" s="1"/>
      <c r="DC3000" s="19"/>
      <c r="DL3000" s="13"/>
    </row>
    <row r="3001" spans="101:116" ht="12.75" customHeight="1">
      <c r="CW3001" s="1"/>
      <c r="DC3001" s="19"/>
      <c r="DL3001" s="13"/>
    </row>
    <row r="3002" spans="101:116" ht="12.75" customHeight="1">
      <c r="CW3002" s="1"/>
      <c r="DC3002" s="19"/>
      <c r="DL3002" s="13"/>
    </row>
    <row r="3003" spans="101:116" ht="12.75" customHeight="1">
      <c r="CW3003" s="1"/>
      <c r="DC3003" s="19"/>
      <c r="DL3003" s="13"/>
    </row>
    <row r="3004" spans="101:116" ht="12.75" customHeight="1">
      <c r="CW3004" s="1"/>
      <c r="DC3004" s="19"/>
      <c r="DL3004" s="13"/>
    </row>
    <row r="3005" spans="101:116" ht="12.75" customHeight="1">
      <c r="CW3005" s="1"/>
      <c r="DC3005" s="19"/>
      <c r="DL3005" s="13"/>
    </row>
    <row r="3006" spans="101:116" ht="12.75" customHeight="1">
      <c r="CW3006" s="1"/>
      <c r="DC3006" s="19"/>
      <c r="DL3006" s="13"/>
    </row>
    <row r="3007" spans="101:116" ht="12.75" customHeight="1">
      <c r="CW3007" s="1"/>
      <c r="DC3007" s="19"/>
      <c r="DL3007" s="13"/>
    </row>
    <row r="3008" spans="101:116" ht="12.75" customHeight="1">
      <c r="CW3008" s="1"/>
      <c r="DC3008" s="19"/>
      <c r="DL3008" s="13"/>
    </row>
    <row r="3009" spans="101:116" ht="12.75" customHeight="1">
      <c r="CW3009" s="1"/>
      <c r="DC3009" s="19"/>
      <c r="DL3009" s="13"/>
    </row>
    <row r="3010" spans="101:116" ht="12.75" customHeight="1">
      <c r="CW3010" s="1"/>
      <c r="DC3010" s="19"/>
      <c r="DL3010" s="13"/>
    </row>
    <row r="3011" spans="101:116" ht="12.75" customHeight="1">
      <c r="CW3011" s="1"/>
      <c r="DC3011" s="19"/>
      <c r="DL3011" s="13"/>
    </row>
    <row r="3012" spans="101:116" ht="12.75" customHeight="1">
      <c r="CW3012" s="1"/>
      <c r="DC3012" s="19"/>
      <c r="DL3012" s="13"/>
    </row>
    <row r="3013" spans="101:116" ht="12.75" customHeight="1">
      <c r="CW3013" s="1"/>
      <c r="DC3013" s="19"/>
      <c r="DL3013" s="13"/>
    </row>
    <row r="3014" spans="101:116" ht="12.75" customHeight="1">
      <c r="CW3014" s="1"/>
      <c r="DC3014" s="19"/>
      <c r="DL3014" s="13"/>
    </row>
    <row r="3015" spans="101:116" ht="12.75" customHeight="1">
      <c r="CW3015" s="1"/>
      <c r="DC3015" s="19"/>
      <c r="DL3015" s="13"/>
    </row>
    <row r="3016" spans="101:116" ht="12.75" customHeight="1">
      <c r="CW3016" s="1"/>
      <c r="DC3016" s="19"/>
      <c r="DL3016" s="13"/>
    </row>
    <row r="3017" spans="101:116" ht="12.75" customHeight="1">
      <c r="CW3017" s="1"/>
      <c r="DC3017" s="19"/>
      <c r="DL3017" s="13"/>
    </row>
    <row r="3018" spans="101:116" ht="12.75" customHeight="1">
      <c r="CW3018" s="1"/>
      <c r="DC3018" s="19"/>
      <c r="DL3018" s="13"/>
    </row>
    <row r="3019" spans="101:116" ht="12.75" customHeight="1">
      <c r="CW3019" s="1"/>
      <c r="DC3019" s="19"/>
      <c r="DL3019" s="13"/>
    </row>
    <row r="3020" spans="101:116" ht="12.75" customHeight="1">
      <c r="CW3020" s="1"/>
      <c r="DC3020" s="19"/>
      <c r="DL3020" s="13"/>
    </row>
    <row r="3021" spans="101:116" ht="12.75" customHeight="1">
      <c r="CW3021" s="1"/>
      <c r="DC3021" s="19"/>
      <c r="DL3021" s="13"/>
    </row>
    <row r="3022" spans="101:116" ht="12.75" customHeight="1">
      <c r="CW3022" s="1"/>
      <c r="DC3022" s="19"/>
      <c r="DL3022" s="13"/>
    </row>
    <row r="3023" spans="101:116" ht="12.75" customHeight="1">
      <c r="CW3023" s="1"/>
      <c r="DC3023" s="19"/>
      <c r="DL3023" s="13"/>
    </row>
    <row r="3024" spans="101:116" ht="12.75" customHeight="1">
      <c r="CW3024" s="1"/>
      <c r="DC3024" s="19"/>
      <c r="DL3024" s="13"/>
    </row>
    <row r="3025" spans="101:116" ht="12.75" customHeight="1">
      <c r="CW3025" s="1"/>
      <c r="DC3025" s="19"/>
      <c r="DL3025" s="13"/>
    </row>
    <row r="3026" spans="101:116" ht="12.75" customHeight="1">
      <c r="CW3026" s="1"/>
      <c r="DC3026" s="19"/>
      <c r="DL3026" s="13"/>
    </row>
    <row r="3027" spans="101:116" ht="12.75" customHeight="1">
      <c r="CW3027" s="1"/>
      <c r="DC3027" s="19"/>
      <c r="DL3027" s="13"/>
    </row>
    <row r="3028" spans="101:116" ht="12.75" customHeight="1">
      <c r="CW3028" s="1"/>
      <c r="DC3028" s="19"/>
      <c r="DL3028" s="13"/>
    </row>
    <row r="3029" spans="101:116" ht="12.75" customHeight="1">
      <c r="DC3029" s="19"/>
      <c r="DL3029" s="13"/>
    </row>
    <row r="3030" spans="101:116" ht="12.75" customHeight="1">
      <c r="DC3030" s="19"/>
      <c r="DL3030" s="13"/>
    </row>
    <row r="3031" spans="101:116" ht="12.75" customHeight="1">
      <c r="DC3031" s="19"/>
      <c r="DL3031" s="13"/>
    </row>
    <row r="3032" spans="101:116" ht="12.75" customHeight="1">
      <c r="DC3032" s="19"/>
      <c r="DL3032" s="13"/>
    </row>
    <row r="3033" spans="101:116" ht="12.75" customHeight="1">
      <c r="DC3033" s="19"/>
      <c r="DL3033" s="13"/>
    </row>
    <row r="3034" spans="101:116" ht="12.75" customHeight="1">
      <c r="DC3034" s="19"/>
      <c r="DL3034" s="13"/>
    </row>
    <row r="3035" spans="101:116" ht="12.75" customHeight="1">
      <c r="DC3035" s="19"/>
      <c r="DL3035" s="13"/>
    </row>
    <row r="3036" spans="101:116" ht="12.75" customHeight="1">
      <c r="DC3036" s="19"/>
      <c r="DL3036" s="13"/>
    </row>
    <row r="3037" spans="101:116" ht="12.75" customHeight="1">
      <c r="DC3037" s="19"/>
      <c r="DL3037" s="13"/>
    </row>
    <row r="3038" spans="101:116" ht="12.75" customHeight="1">
      <c r="DC3038" s="19"/>
      <c r="DL3038" s="13"/>
    </row>
    <row r="3039" spans="101:116" ht="12.75" customHeight="1">
      <c r="DC3039" s="19"/>
      <c r="DL3039" s="13"/>
    </row>
    <row r="3040" spans="101:116" ht="12.75" customHeight="1">
      <c r="DC3040" s="19"/>
      <c r="DL3040" s="13"/>
    </row>
    <row r="3041" spans="107:116" ht="12.75" customHeight="1">
      <c r="DC3041" s="19"/>
      <c r="DL3041" s="13"/>
    </row>
    <row r="3042" spans="107:116" ht="12.75" customHeight="1">
      <c r="DC3042" s="19"/>
      <c r="DL3042" s="13"/>
    </row>
    <row r="3043" spans="107:116" ht="12.75" customHeight="1">
      <c r="DC3043" s="19"/>
      <c r="DL3043" s="13"/>
    </row>
    <row r="3044" spans="107:116" ht="12.75" customHeight="1">
      <c r="DC3044" s="19"/>
      <c r="DL3044" s="13"/>
    </row>
    <row r="3045" spans="107:116" ht="12.75" customHeight="1">
      <c r="DC3045" s="19"/>
      <c r="DL3045" s="13"/>
    </row>
    <row r="3046" spans="107:116" ht="12.75" customHeight="1">
      <c r="DC3046" s="19"/>
      <c r="DL3046" s="13"/>
    </row>
    <row r="3047" spans="107:116" ht="12.75" customHeight="1">
      <c r="DC3047" s="19"/>
      <c r="DL3047" s="13"/>
    </row>
    <row r="3048" spans="107:116" ht="12.75" customHeight="1">
      <c r="DC3048" s="19"/>
      <c r="DL3048" s="13"/>
    </row>
    <row r="3049" spans="107:116" ht="12.75" customHeight="1">
      <c r="DC3049" s="19"/>
      <c r="DL3049" s="13"/>
    </row>
    <row r="3050" spans="107:116" ht="12.75" customHeight="1">
      <c r="DC3050" s="19"/>
      <c r="DL3050" s="13"/>
    </row>
    <row r="3051" spans="107:116" ht="12.75" customHeight="1">
      <c r="DC3051" s="19"/>
      <c r="DL3051" s="13"/>
    </row>
    <row r="3052" spans="107:116" ht="12.75" customHeight="1">
      <c r="DC3052" s="19"/>
      <c r="DL3052" s="13"/>
    </row>
    <row r="3053" spans="107:116" ht="12.75" customHeight="1">
      <c r="DC3053" s="19"/>
      <c r="DL3053" s="13"/>
    </row>
    <row r="3054" spans="107:116" ht="12.75" customHeight="1">
      <c r="DC3054" s="19"/>
      <c r="DL3054" s="13"/>
    </row>
    <row r="3055" spans="107:116" ht="12.75" customHeight="1">
      <c r="DC3055" s="19"/>
      <c r="DL3055" s="13"/>
    </row>
    <row r="3056" spans="107:116" ht="12.75" customHeight="1">
      <c r="DC3056" s="19"/>
      <c r="DL3056" s="13"/>
    </row>
    <row r="3057" spans="107:116" ht="12.75" customHeight="1">
      <c r="DC3057" s="19"/>
      <c r="DL3057" s="13"/>
    </row>
    <row r="3058" spans="107:116" ht="12.75" customHeight="1">
      <c r="DC3058" s="19"/>
      <c r="DL3058" s="13"/>
    </row>
    <row r="3059" spans="107:116" ht="12.75" customHeight="1">
      <c r="DC3059" s="19"/>
      <c r="DL3059" s="13"/>
    </row>
    <row r="3060" spans="107:116" ht="12.75" customHeight="1">
      <c r="DC3060" s="19"/>
      <c r="DL3060" s="13"/>
    </row>
    <row r="3061" spans="107:116" ht="12.75" customHeight="1">
      <c r="DC3061" s="19"/>
      <c r="DL3061" s="13"/>
    </row>
    <row r="3062" spans="107:116" ht="12.75" customHeight="1">
      <c r="DC3062" s="19"/>
      <c r="DL3062" s="13"/>
    </row>
    <row r="3063" spans="107:116" ht="12.75" customHeight="1">
      <c r="DC3063" s="19"/>
      <c r="DL3063" s="13"/>
    </row>
    <row r="3064" spans="107:116" ht="12.75" customHeight="1">
      <c r="DC3064" s="19"/>
      <c r="DL3064" s="13"/>
    </row>
    <row r="3065" spans="107:116" ht="12.75" customHeight="1">
      <c r="DC3065" s="19"/>
      <c r="DL3065" s="13"/>
    </row>
    <row r="3066" spans="107:116" ht="12.75" customHeight="1">
      <c r="DC3066" s="19"/>
      <c r="DL3066" s="13"/>
    </row>
    <row r="3067" spans="107:116" ht="12.75" customHeight="1">
      <c r="DC3067" s="19"/>
      <c r="DL3067" s="13"/>
    </row>
    <row r="3068" spans="107:116" ht="12.75" customHeight="1">
      <c r="DC3068" s="19"/>
      <c r="DL3068" s="13"/>
    </row>
    <row r="3069" spans="107:116" ht="12.75" customHeight="1">
      <c r="DC3069" s="19"/>
      <c r="DL3069" s="13"/>
    </row>
    <row r="3070" spans="107:116" ht="12.75" customHeight="1">
      <c r="DC3070" s="19"/>
      <c r="DL3070" s="13"/>
    </row>
    <row r="3071" spans="107:116" ht="12.75" customHeight="1">
      <c r="DC3071" s="19"/>
      <c r="DL3071" s="13"/>
    </row>
    <row r="3072" spans="107:116" ht="12.75" customHeight="1">
      <c r="DC3072" s="19"/>
      <c r="DL3072" s="13"/>
    </row>
    <row r="3073" spans="107:116" ht="12.75" customHeight="1">
      <c r="DC3073" s="19"/>
      <c r="DL3073" s="13"/>
    </row>
    <row r="3074" spans="107:116" ht="12.75" customHeight="1">
      <c r="DC3074" s="19"/>
      <c r="DL3074" s="13"/>
    </row>
    <row r="3075" spans="107:116" ht="12.75" customHeight="1">
      <c r="DC3075" s="19"/>
      <c r="DL3075" s="13"/>
    </row>
    <row r="3076" spans="107:116" ht="12.75" customHeight="1">
      <c r="DC3076" s="19"/>
      <c r="DL3076" s="13"/>
    </row>
    <row r="3077" spans="107:116" ht="12.75" customHeight="1">
      <c r="DC3077" s="19"/>
      <c r="DL3077" s="13"/>
    </row>
    <row r="3078" spans="107:116" ht="12.75" customHeight="1">
      <c r="DC3078" s="19"/>
      <c r="DL3078" s="13"/>
    </row>
    <row r="3079" spans="107:116" ht="12.75" customHeight="1">
      <c r="DC3079" s="19"/>
      <c r="DL3079" s="13"/>
    </row>
    <row r="3080" spans="107:116" ht="12.75" customHeight="1">
      <c r="DC3080" s="19"/>
      <c r="DL3080" s="13"/>
    </row>
    <row r="3081" spans="107:116" ht="12.75" customHeight="1">
      <c r="DC3081" s="19"/>
      <c r="DL3081" s="13"/>
    </row>
    <row r="3082" spans="107:116" ht="12.75" customHeight="1">
      <c r="DC3082" s="19"/>
      <c r="DL3082" s="13"/>
    </row>
    <row r="3083" spans="107:116" ht="12.75" customHeight="1">
      <c r="DC3083" s="19"/>
      <c r="DL3083" s="13"/>
    </row>
    <row r="3084" spans="107:116" ht="12.75" customHeight="1">
      <c r="DC3084" s="19"/>
      <c r="DL3084" s="13"/>
    </row>
    <row r="3085" spans="107:116" ht="12.75" customHeight="1">
      <c r="DC3085" s="19"/>
      <c r="DL3085" s="13"/>
    </row>
    <row r="3086" spans="107:116" ht="12.75" customHeight="1">
      <c r="DC3086" s="19"/>
      <c r="DL3086" s="13"/>
    </row>
    <row r="3087" spans="107:116" ht="12.75" customHeight="1">
      <c r="DC3087" s="19"/>
      <c r="DL3087" s="13"/>
    </row>
    <row r="3088" spans="107:116" ht="12.75" customHeight="1">
      <c r="DC3088" s="19"/>
      <c r="DL3088" s="13"/>
    </row>
    <row r="3089" spans="107:116" ht="12.75" customHeight="1">
      <c r="DC3089" s="19"/>
      <c r="DL3089" s="13"/>
    </row>
    <row r="3090" spans="107:116" ht="12.75" customHeight="1">
      <c r="DC3090" s="19"/>
      <c r="DL3090" s="13"/>
    </row>
    <row r="3091" spans="107:116" ht="12.75" customHeight="1">
      <c r="DC3091" s="19"/>
      <c r="DL3091" s="13"/>
    </row>
    <row r="3092" spans="107:116" ht="12.75" customHeight="1">
      <c r="DC3092" s="19"/>
      <c r="DL3092" s="13"/>
    </row>
    <row r="3093" spans="107:116" ht="12.75" customHeight="1">
      <c r="DC3093" s="19"/>
      <c r="DL3093" s="13"/>
    </row>
    <row r="3094" spans="107:116" ht="12.75" customHeight="1">
      <c r="DC3094" s="19"/>
      <c r="DL3094" s="13"/>
    </row>
    <row r="3095" spans="107:116" ht="12.75" customHeight="1">
      <c r="DC3095" s="19"/>
      <c r="DL3095" s="13"/>
    </row>
    <row r="3096" spans="107:116" ht="12.75" customHeight="1">
      <c r="DC3096" s="19"/>
      <c r="DL3096" s="13"/>
    </row>
    <row r="3097" spans="107:116" ht="12.75" customHeight="1">
      <c r="DC3097" s="19"/>
      <c r="DL3097" s="13"/>
    </row>
    <row r="3098" spans="107:116" ht="12.75" customHeight="1">
      <c r="DC3098" s="19"/>
      <c r="DL3098" s="13"/>
    </row>
    <row r="3099" spans="107:116" ht="12.75" customHeight="1">
      <c r="DC3099" s="19"/>
      <c r="DL3099" s="13"/>
    </row>
    <row r="3100" spans="107:116" ht="12.75" customHeight="1">
      <c r="DC3100" s="19"/>
      <c r="DL3100" s="13"/>
    </row>
    <row r="3101" spans="107:116" ht="12.75" customHeight="1">
      <c r="DC3101" s="19"/>
      <c r="DL3101" s="13"/>
    </row>
    <row r="3102" spans="107:116" ht="12.75" customHeight="1">
      <c r="DC3102" s="19"/>
      <c r="DL3102" s="13"/>
    </row>
    <row r="3103" spans="107:116" ht="12.75" customHeight="1">
      <c r="DC3103" s="19"/>
      <c r="DL3103" s="13"/>
    </row>
    <row r="3104" spans="107:116" ht="12.75" customHeight="1">
      <c r="DC3104" s="19"/>
      <c r="DL3104" s="13"/>
    </row>
    <row r="3105" spans="107:116" ht="12.75" customHeight="1">
      <c r="DC3105" s="19"/>
      <c r="DL3105" s="13"/>
    </row>
    <row r="3106" spans="107:116" ht="12.75" customHeight="1">
      <c r="DC3106" s="19"/>
      <c r="DL3106" s="13"/>
    </row>
    <row r="3107" spans="107:116" ht="12.75" customHeight="1">
      <c r="DC3107" s="19"/>
      <c r="DL3107" s="13"/>
    </row>
    <row r="3108" spans="107:116" ht="12.75" customHeight="1">
      <c r="DC3108" s="19"/>
      <c r="DL3108" s="13"/>
    </row>
    <row r="3109" spans="107:116" ht="12.75" customHeight="1">
      <c r="DC3109" s="19"/>
      <c r="DL3109" s="13"/>
    </row>
    <row r="3110" spans="107:116" ht="12.75" customHeight="1">
      <c r="DC3110" s="19"/>
      <c r="DL3110" s="13"/>
    </row>
    <row r="3111" spans="107:116" ht="12.75" customHeight="1">
      <c r="DC3111" s="19"/>
      <c r="DL3111" s="13"/>
    </row>
    <row r="3112" spans="107:116" ht="12.75" customHeight="1">
      <c r="DC3112" s="19"/>
      <c r="DL3112" s="13"/>
    </row>
    <row r="3113" spans="107:116" ht="12.75" customHeight="1">
      <c r="DC3113" s="19"/>
      <c r="DL3113" s="13"/>
    </row>
    <row r="3114" spans="107:116" ht="12.75" customHeight="1">
      <c r="DC3114" s="19"/>
      <c r="DL3114" s="13"/>
    </row>
    <row r="3115" spans="107:116" ht="12.75" customHeight="1">
      <c r="DC3115" s="19"/>
      <c r="DL3115" s="13"/>
    </row>
    <row r="3116" spans="107:116" ht="12.75" customHeight="1">
      <c r="DC3116" s="19"/>
      <c r="DL3116" s="13"/>
    </row>
    <row r="3117" spans="107:116" ht="12.75" customHeight="1">
      <c r="DC3117" s="19"/>
      <c r="DL3117" s="13"/>
    </row>
    <row r="3118" spans="107:116" ht="12.75" customHeight="1">
      <c r="DC3118" s="19"/>
      <c r="DL3118" s="13"/>
    </row>
    <row r="3119" spans="107:116" ht="12.75" customHeight="1">
      <c r="DC3119" s="19"/>
      <c r="DL3119" s="13"/>
    </row>
    <row r="3120" spans="107:116" ht="12.75" customHeight="1">
      <c r="DC3120" s="19"/>
      <c r="DL3120" s="13"/>
    </row>
    <row r="3121" spans="107:116" ht="12.75" customHeight="1">
      <c r="DC3121" s="19"/>
      <c r="DL3121" s="13"/>
    </row>
    <row r="3122" spans="107:116" ht="12.75" customHeight="1">
      <c r="DC3122" s="19"/>
      <c r="DL3122" s="13"/>
    </row>
    <row r="3123" spans="107:116" ht="12.75" customHeight="1">
      <c r="DC3123" s="19"/>
      <c r="DL3123" s="13"/>
    </row>
    <row r="3124" spans="107:116" ht="12.75" customHeight="1">
      <c r="DC3124" s="19"/>
      <c r="DL3124" s="13"/>
    </row>
    <row r="3125" spans="107:116" ht="12.75" customHeight="1">
      <c r="DC3125" s="19"/>
      <c r="DL3125" s="13"/>
    </row>
    <row r="3126" spans="107:116" ht="12.75" customHeight="1">
      <c r="DC3126" s="19"/>
      <c r="DL3126" s="13"/>
    </row>
    <row r="3127" spans="107:116" ht="12.75" customHeight="1">
      <c r="DC3127" s="19"/>
      <c r="DL3127" s="13"/>
    </row>
    <row r="3128" spans="107:116" ht="12.75" customHeight="1">
      <c r="DC3128" s="19"/>
      <c r="DL3128" s="13"/>
    </row>
    <row r="3129" spans="107:116" ht="12.75" customHeight="1">
      <c r="DC3129" s="19"/>
      <c r="DL3129" s="13"/>
    </row>
    <row r="3130" spans="107:116" ht="12.75" customHeight="1">
      <c r="DC3130" s="19"/>
      <c r="DL3130" s="13"/>
    </row>
    <row r="3131" spans="107:116" ht="12.75" customHeight="1">
      <c r="DC3131" s="19"/>
      <c r="DL3131" s="13"/>
    </row>
    <row r="3132" spans="107:116" ht="12.75" customHeight="1">
      <c r="DC3132" s="19"/>
      <c r="DL3132" s="13"/>
    </row>
    <row r="3133" spans="107:116" ht="12.75" customHeight="1">
      <c r="DC3133" s="19"/>
      <c r="DL3133" s="13"/>
    </row>
    <row r="3134" spans="107:116" ht="12.75" customHeight="1">
      <c r="DC3134" s="19"/>
      <c r="DL3134" s="13"/>
    </row>
    <row r="3135" spans="107:116" ht="12.75" customHeight="1">
      <c r="DC3135" s="19"/>
      <c r="DL3135" s="13"/>
    </row>
    <row r="3136" spans="107:116" ht="12.75" customHeight="1">
      <c r="DC3136" s="19"/>
      <c r="DL3136" s="13"/>
    </row>
    <row r="3137" spans="107:116" ht="12.75" customHeight="1">
      <c r="DC3137" s="19"/>
      <c r="DL3137" s="13"/>
    </row>
    <row r="3138" spans="107:116" ht="12.75" customHeight="1">
      <c r="DC3138" s="19"/>
      <c r="DL3138" s="13"/>
    </row>
    <row r="3139" spans="107:116" ht="12.75" customHeight="1">
      <c r="DC3139" s="19"/>
      <c r="DL3139" s="13"/>
    </row>
    <row r="3140" spans="107:116" ht="12.75" customHeight="1">
      <c r="DC3140" s="19"/>
      <c r="DL3140" s="13"/>
    </row>
    <row r="3141" spans="107:116" ht="12.75" customHeight="1">
      <c r="DC3141" s="19"/>
      <c r="DL3141" s="13"/>
    </row>
    <row r="3142" spans="107:116" ht="12.75" customHeight="1">
      <c r="DC3142" s="19"/>
      <c r="DL3142" s="13"/>
    </row>
    <row r="3143" spans="107:116" ht="12.75" customHeight="1">
      <c r="DC3143" s="19"/>
      <c r="DL3143" s="13"/>
    </row>
    <row r="3144" spans="107:116" ht="12.75" customHeight="1">
      <c r="DC3144" s="19"/>
      <c r="DL3144" s="13"/>
    </row>
    <row r="3145" spans="107:116" ht="12.75" customHeight="1">
      <c r="DC3145" s="19"/>
      <c r="DL3145" s="13"/>
    </row>
    <row r="3146" spans="107:116" ht="12.75" customHeight="1">
      <c r="DC3146" s="19"/>
      <c r="DL3146" s="13"/>
    </row>
    <row r="3147" spans="107:116" ht="12.75" customHeight="1">
      <c r="DC3147" s="19"/>
      <c r="DL3147" s="13"/>
    </row>
    <row r="3148" spans="107:116" ht="12.75" customHeight="1">
      <c r="DC3148" s="19"/>
      <c r="DL3148" s="13"/>
    </row>
    <row r="3149" spans="107:116" ht="12.75" customHeight="1">
      <c r="DC3149" s="19"/>
      <c r="DL3149" s="13"/>
    </row>
    <row r="3150" spans="107:116" ht="12.75" customHeight="1">
      <c r="DC3150" s="19"/>
      <c r="DL3150" s="13"/>
    </row>
    <row r="3151" spans="107:116" ht="12.75" customHeight="1">
      <c r="DC3151" s="19"/>
      <c r="DL3151" s="13"/>
    </row>
    <row r="3152" spans="107:116" ht="12.75" customHeight="1">
      <c r="DC3152" s="19"/>
      <c r="DL3152" s="13"/>
    </row>
    <row r="3153" spans="107:116" ht="12.75" customHeight="1">
      <c r="DC3153" s="19"/>
      <c r="DL3153" s="13"/>
    </row>
    <row r="3154" spans="107:116" ht="12.75" customHeight="1">
      <c r="DC3154" s="19"/>
      <c r="DL3154" s="13"/>
    </row>
    <row r="3155" spans="107:116" ht="12.75" customHeight="1">
      <c r="DC3155" s="19"/>
      <c r="DL3155" s="13"/>
    </row>
    <row r="3156" spans="107:116" ht="12.75" customHeight="1">
      <c r="DC3156" s="19"/>
      <c r="DL3156" s="13"/>
    </row>
    <row r="3157" spans="107:116" ht="12.75" customHeight="1">
      <c r="DC3157" s="19"/>
      <c r="DL3157" s="13"/>
    </row>
    <row r="3158" spans="107:116" ht="12.75" customHeight="1">
      <c r="DC3158" s="19"/>
      <c r="DL3158" s="13"/>
    </row>
    <row r="3159" spans="107:116" ht="12.75" customHeight="1">
      <c r="DC3159" s="19"/>
      <c r="DL3159" s="13"/>
    </row>
    <row r="3160" spans="107:116" ht="12.75" customHeight="1">
      <c r="DC3160" s="19"/>
      <c r="DL3160" s="13"/>
    </row>
    <row r="3161" spans="107:116" ht="12.75" customHeight="1">
      <c r="DC3161" s="19"/>
      <c r="DL3161" s="13"/>
    </row>
    <row r="3162" spans="107:116" ht="12.75" customHeight="1">
      <c r="DC3162" s="19"/>
      <c r="DL3162" s="13"/>
    </row>
    <row r="3163" spans="107:116" ht="12.75" customHeight="1">
      <c r="DC3163" s="19"/>
      <c r="DL3163" s="13"/>
    </row>
    <row r="3164" spans="107:116" ht="12.75" customHeight="1">
      <c r="DC3164" s="19"/>
      <c r="DL3164" s="13"/>
    </row>
    <row r="3165" spans="107:116" ht="12.75" customHeight="1">
      <c r="DC3165" s="19"/>
      <c r="DL3165" s="13"/>
    </row>
    <row r="3166" spans="107:116" ht="12.75" customHeight="1">
      <c r="DC3166" s="19"/>
      <c r="DL3166" s="13"/>
    </row>
    <row r="3167" spans="107:116" ht="12.75" customHeight="1">
      <c r="DC3167" s="19"/>
      <c r="DL3167" s="13"/>
    </row>
    <row r="3168" spans="107:116" ht="12.75" customHeight="1">
      <c r="DC3168" s="19"/>
      <c r="DL3168" s="13"/>
    </row>
    <row r="3169" spans="107:116" ht="12.75" customHeight="1">
      <c r="DC3169" s="19"/>
      <c r="DL3169" s="13"/>
    </row>
    <row r="3170" spans="107:116" ht="12.75" customHeight="1">
      <c r="DC3170" s="19"/>
      <c r="DL3170" s="13"/>
    </row>
    <row r="3171" spans="107:116" ht="12.75" customHeight="1">
      <c r="DC3171" s="19"/>
      <c r="DL3171" s="13"/>
    </row>
    <row r="3172" spans="107:116" ht="12.75" customHeight="1">
      <c r="DC3172" s="19"/>
      <c r="DL3172" s="13"/>
    </row>
    <row r="3173" spans="107:116" ht="12.75" customHeight="1">
      <c r="DC3173" s="19"/>
      <c r="DL3173" s="13"/>
    </row>
    <row r="3174" spans="107:116" ht="12.75" customHeight="1">
      <c r="DC3174" s="19"/>
      <c r="DL3174" s="13"/>
    </row>
    <row r="3175" spans="107:116" ht="12.75" customHeight="1">
      <c r="DC3175" s="19"/>
      <c r="DL3175" s="13"/>
    </row>
    <row r="3176" spans="107:116" ht="12.75" customHeight="1">
      <c r="DC3176" s="19"/>
      <c r="DL3176" s="13"/>
    </row>
    <row r="3177" spans="107:116" ht="12.75" customHeight="1">
      <c r="DC3177" s="19"/>
      <c r="DL3177" s="13"/>
    </row>
    <row r="3178" spans="107:116" ht="12.75" customHeight="1">
      <c r="DC3178" s="19"/>
      <c r="DL3178" s="13"/>
    </row>
    <row r="3179" spans="107:116" ht="12.75" customHeight="1">
      <c r="DC3179" s="19"/>
      <c r="DL3179" s="13"/>
    </row>
    <row r="3180" spans="107:116" ht="12.75" customHeight="1">
      <c r="DC3180" s="19"/>
      <c r="DL3180" s="13"/>
    </row>
    <row r="3181" spans="107:116" ht="12.75" customHeight="1">
      <c r="DC3181" s="19"/>
      <c r="DL3181" s="13"/>
    </row>
    <row r="3182" spans="107:116" ht="12.75" customHeight="1">
      <c r="DC3182" s="19"/>
      <c r="DL3182" s="13"/>
    </row>
    <row r="3183" spans="107:116" ht="12.75" customHeight="1">
      <c r="DC3183" s="19"/>
      <c r="DL3183" s="13"/>
    </row>
    <row r="3184" spans="107:116" ht="12.75" customHeight="1">
      <c r="DC3184" s="19"/>
      <c r="DL3184" s="13"/>
    </row>
    <row r="3185" spans="107:116" ht="12.75" customHeight="1">
      <c r="DC3185" s="19"/>
      <c r="DL3185" s="13"/>
    </row>
    <row r="3186" spans="107:116" ht="12.75" customHeight="1">
      <c r="DC3186" s="19"/>
      <c r="DL3186" s="13"/>
    </row>
    <row r="3187" spans="107:116" ht="12.75" customHeight="1">
      <c r="DC3187" s="19"/>
      <c r="DL3187" s="13"/>
    </row>
    <row r="3188" spans="107:116" ht="12.75" customHeight="1">
      <c r="DC3188" s="19"/>
      <c r="DL3188" s="13"/>
    </row>
    <row r="3189" spans="107:116" ht="12.75" customHeight="1">
      <c r="DC3189" s="19"/>
      <c r="DL3189" s="13"/>
    </row>
    <row r="3190" spans="107:116" ht="12.75" customHeight="1">
      <c r="DC3190" s="19"/>
      <c r="DL3190" s="13"/>
    </row>
    <row r="3191" spans="107:116" ht="12.75" customHeight="1">
      <c r="DC3191" s="19"/>
      <c r="DL3191" s="13"/>
    </row>
    <row r="3192" spans="107:116" ht="12.75" customHeight="1">
      <c r="DC3192" s="19"/>
      <c r="DL3192" s="13"/>
    </row>
    <row r="3193" spans="107:116" ht="12.75" customHeight="1">
      <c r="DC3193" s="19"/>
      <c r="DL3193" s="13"/>
    </row>
    <row r="3194" spans="107:116" ht="12.75" customHeight="1">
      <c r="DC3194" s="19"/>
      <c r="DL3194" s="13"/>
    </row>
    <row r="3195" spans="107:116" ht="12.75" customHeight="1">
      <c r="DC3195" s="19"/>
      <c r="DL3195" s="13"/>
    </row>
    <row r="3196" spans="107:116" ht="12.75" customHeight="1">
      <c r="DC3196" s="19"/>
      <c r="DL3196" s="13"/>
    </row>
    <row r="3197" spans="107:116" ht="12.75" customHeight="1">
      <c r="DC3197" s="19"/>
      <c r="DL3197" s="13"/>
    </row>
    <row r="3198" spans="107:116" ht="12.75" customHeight="1">
      <c r="DC3198" s="19"/>
      <c r="DL3198" s="13"/>
    </row>
    <row r="3199" spans="107:116" ht="12.75" customHeight="1">
      <c r="DC3199" s="19"/>
      <c r="DL3199" s="13"/>
    </row>
    <row r="3200" spans="107:116" ht="12.75" customHeight="1">
      <c r="DC3200" s="19"/>
      <c r="DL3200" s="13"/>
    </row>
    <row r="3201" spans="107:116" ht="12.75" customHeight="1">
      <c r="DC3201" s="19"/>
      <c r="DL3201" s="13"/>
    </row>
    <row r="3202" spans="107:116" ht="12.75" customHeight="1">
      <c r="DC3202" s="19"/>
      <c r="DL3202" s="13"/>
    </row>
    <row r="3203" spans="107:116" ht="12.75" customHeight="1">
      <c r="DC3203" s="19"/>
      <c r="DL3203" s="13"/>
    </row>
    <row r="3204" spans="107:116" ht="12.75" customHeight="1">
      <c r="DC3204" s="19"/>
      <c r="DL3204" s="13"/>
    </row>
    <row r="3205" spans="107:116" ht="12.75" customHeight="1">
      <c r="DC3205" s="19"/>
      <c r="DL3205" s="13"/>
    </row>
    <row r="3206" spans="107:116" ht="12.75" customHeight="1">
      <c r="DC3206" s="19"/>
      <c r="DL3206" s="13"/>
    </row>
    <row r="3207" spans="107:116" ht="12.75" customHeight="1">
      <c r="DC3207" s="19"/>
      <c r="DL3207" s="13"/>
    </row>
    <row r="3208" spans="107:116" ht="12.75" customHeight="1">
      <c r="DC3208" s="19"/>
      <c r="DL3208" s="13"/>
    </row>
    <row r="3209" spans="107:116" ht="12.75" customHeight="1">
      <c r="DC3209" s="19"/>
      <c r="DL3209" s="13"/>
    </row>
    <row r="3210" spans="107:116" ht="12.75" customHeight="1">
      <c r="DC3210" s="19"/>
      <c r="DL3210" s="13"/>
    </row>
    <row r="3211" spans="107:116" ht="12.75" customHeight="1">
      <c r="DC3211" s="19"/>
      <c r="DL3211" s="13"/>
    </row>
    <row r="3212" spans="107:116" ht="12.75" customHeight="1">
      <c r="DC3212" s="19"/>
      <c r="DL3212" s="13"/>
    </row>
    <row r="3213" spans="107:116" ht="12.75" customHeight="1">
      <c r="DC3213" s="19"/>
      <c r="DL3213" s="13"/>
    </row>
    <row r="3214" spans="107:116" ht="12.75" customHeight="1">
      <c r="DC3214" s="19"/>
      <c r="DL3214" s="13"/>
    </row>
    <row r="3215" spans="107:116" ht="12.75" customHeight="1">
      <c r="DC3215" s="19"/>
      <c r="DL3215" s="13"/>
    </row>
    <row r="3216" spans="107:116" ht="12.75" customHeight="1">
      <c r="DC3216" s="19"/>
      <c r="DL3216" s="13"/>
    </row>
    <row r="3217" spans="107:116" ht="12.75" customHeight="1">
      <c r="DC3217" s="19"/>
      <c r="DL3217" s="13"/>
    </row>
    <row r="3218" spans="107:116" ht="12.75" customHeight="1">
      <c r="DC3218" s="19"/>
      <c r="DL3218" s="13"/>
    </row>
    <row r="3219" spans="107:116" ht="12.75" customHeight="1">
      <c r="DC3219" s="19"/>
      <c r="DL3219" s="13"/>
    </row>
    <row r="3220" spans="107:116" ht="12.75" customHeight="1">
      <c r="DC3220" s="19"/>
      <c r="DL3220" s="13"/>
    </row>
    <row r="3221" spans="107:116" ht="12.75" customHeight="1">
      <c r="DC3221" s="19"/>
      <c r="DL3221" s="13"/>
    </row>
    <row r="3222" spans="107:116" ht="12.75" customHeight="1">
      <c r="DC3222" s="19"/>
      <c r="DL3222" s="13"/>
    </row>
    <row r="3223" spans="107:116" ht="12.75" customHeight="1">
      <c r="DC3223" s="19"/>
      <c r="DL3223" s="13"/>
    </row>
    <row r="3224" spans="107:116" ht="12.75" customHeight="1">
      <c r="DC3224" s="19"/>
      <c r="DL3224" s="13"/>
    </row>
    <row r="3225" spans="107:116" ht="12.75" customHeight="1">
      <c r="DC3225" s="19"/>
      <c r="DL3225" s="13"/>
    </row>
    <row r="3226" spans="107:116" ht="12.75" customHeight="1">
      <c r="DC3226" s="19"/>
      <c r="DL3226" s="13"/>
    </row>
    <row r="3227" spans="107:116" ht="12.75" customHeight="1">
      <c r="DC3227" s="19"/>
      <c r="DL3227" s="13"/>
    </row>
    <row r="3228" spans="107:116" ht="12.75" customHeight="1">
      <c r="DC3228" s="19"/>
      <c r="DL3228" s="13"/>
    </row>
    <row r="3229" spans="107:116" ht="12.75" customHeight="1">
      <c r="DC3229" s="19"/>
      <c r="DL3229" s="13"/>
    </row>
    <row r="3230" spans="107:116" ht="12.75" customHeight="1">
      <c r="DC3230" s="19"/>
      <c r="DL3230" s="13"/>
    </row>
    <row r="3231" spans="107:116" ht="12.75" customHeight="1">
      <c r="DC3231" s="19"/>
      <c r="DL3231" s="13"/>
    </row>
    <row r="3232" spans="107:116" ht="12.75" customHeight="1">
      <c r="DC3232" s="19"/>
      <c r="DL3232" s="13"/>
    </row>
    <row r="3233" spans="107:116" ht="12.75" customHeight="1">
      <c r="DC3233" s="19"/>
      <c r="DL3233" s="13"/>
    </row>
    <row r="3234" spans="107:116" ht="12.75" customHeight="1">
      <c r="DC3234" s="19"/>
      <c r="DL3234" s="13"/>
    </row>
    <row r="3235" spans="107:116" ht="12.75" customHeight="1">
      <c r="DC3235" s="19"/>
      <c r="DL3235" s="13"/>
    </row>
    <row r="3236" spans="107:116" ht="12.75" customHeight="1">
      <c r="DC3236" s="19"/>
      <c r="DL3236" s="13"/>
    </row>
    <row r="3237" spans="107:116" ht="12.75" customHeight="1">
      <c r="DC3237" s="19"/>
      <c r="DL3237" s="13"/>
    </row>
    <row r="3238" spans="107:116" ht="12.75" customHeight="1">
      <c r="DC3238" s="19"/>
      <c r="DL3238" s="13"/>
    </row>
    <row r="3239" spans="107:116" ht="12.75" customHeight="1">
      <c r="DC3239" s="19"/>
      <c r="DL3239" s="13"/>
    </row>
    <row r="3240" spans="107:116" ht="12.75" customHeight="1">
      <c r="DC3240" s="19"/>
      <c r="DL3240" s="13"/>
    </row>
    <row r="3241" spans="107:116" ht="12.75" customHeight="1">
      <c r="DC3241" s="19"/>
      <c r="DL3241" s="13"/>
    </row>
    <row r="3242" spans="107:116" ht="12.75" customHeight="1">
      <c r="DC3242" s="19"/>
      <c r="DL3242" s="13"/>
    </row>
    <row r="3243" spans="107:116" ht="12.75" customHeight="1">
      <c r="DC3243" s="19"/>
      <c r="DL3243" s="13"/>
    </row>
    <row r="3244" spans="107:116" ht="12.75" customHeight="1">
      <c r="DC3244" s="19"/>
      <c r="DL3244" s="13"/>
    </row>
    <row r="3245" spans="107:116" ht="12.75" customHeight="1">
      <c r="DC3245" s="19"/>
      <c r="DL3245" s="13"/>
    </row>
    <row r="3246" spans="107:116" ht="12.75" customHeight="1">
      <c r="DC3246" s="19"/>
      <c r="DL3246" s="13"/>
    </row>
    <row r="3247" spans="107:116" ht="12.75" customHeight="1">
      <c r="DC3247" s="19"/>
      <c r="DL3247" s="13"/>
    </row>
    <row r="3248" spans="107:116" ht="12.75" customHeight="1">
      <c r="DC3248" s="19"/>
      <c r="DL3248" s="13"/>
    </row>
    <row r="3249" spans="107:116" ht="12.75" customHeight="1">
      <c r="DC3249" s="19"/>
      <c r="DL3249" s="13"/>
    </row>
    <row r="3250" spans="107:116" ht="12.75" customHeight="1">
      <c r="DC3250" s="19"/>
      <c r="DL3250" s="13"/>
    </row>
    <row r="3251" spans="107:116" ht="12.75" customHeight="1">
      <c r="DC3251" s="19"/>
      <c r="DL3251" s="13"/>
    </row>
    <row r="3252" spans="107:116" ht="12.75" customHeight="1">
      <c r="DC3252" s="19"/>
      <c r="DL3252" s="13"/>
    </row>
    <row r="3253" spans="107:116" ht="12.75" customHeight="1">
      <c r="DC3253" s="19"/>
      <c r="DL3253" s="13"/>
    </row>
    <row r="3254" spans="107:116" ht="12.75" customHeight="1">
      <c r="DC3254" s="19"/>
      <c r="DL3254" s="13"/>
    </row>
    <row r="3255" spans="107:116" ht="12.75" customHeight="1">
      <c r="DC3255" s="19"/>
      <c r="DL3255" s="13"/>
    </row>
    <row r="3256" spans="107:116" ht="12.75" customHeight="1">
      <c r="DC3256" s="19"/>
      <c r="DL3256" s="13"/>
    </row>
    <row r="3257" spans="107:116" ht="12.75" customHeight="1">
      <c r="DC3257" s="19"/>
      <c r="DL3257" s="13"/>
    </row>
    <row r="3258" spans="107:116" ht="12.75" customHeight="1">
      <c r="DC3258" s="19"/>
      <c r="DL3258" s="13"/>
    </row>
    <row r="3259" spans="107:116" ht="12.75" customHeight="1">
      <c r="DC3259" s="19"/>
      <c r="DL3259" s="13"/>
    </row>
    <row r="3260" spans="107:116" ht="12.75" customHeight="1">
      <c r="DC3260" s="19"/>
      <c r="DL3260" s="13"/>
    </row>
    <row r="3261" spans="107:116" ht="12.75" customHeight="1">
      <c r="DC3261" s="19"/>
      <c r="DL3261" s="13"/>
    </row>
    <row r="3262" spans="107:116" ht="12.75" customHeight="1">
      <c r="DC3262" s="19"/>
      <c r="DL3262" s="13"/>
    </row>
    <row r="3263" spans="107:116" ht="12.75" customHeight="1">
      <c r="DC3263" s="19"/>
      <c r="DL3263" s="13"/>
    </row>
    <row r="3264" spans="107:116" ht="12.75" customHeight="1">
      <c r="DC3264" s="19"/>
      <c r="DL3264" s="13"/>
    </row>
    <row r="3265" spans="107:116" ht="12.75" customHeight="1">
      <c r="DC3265" s="19"/>
      <c r="DL3265" s="13"/>
    </row>
    <row r="3266" spans="107:116" ht="12.75" customHeight="1">
      <c r="DC3266" s="19"/>
      <c r="DL3266" s="13"/>
    </row>
    <row r="3267" spans="107:116" ht="12.75" customHeight="1">
      <c r="DC3267" s="19"/>
      <c r="DL3267" s="13"/>
    </row>
    <row r="3268" spans="107:116" ht="12.75" customHeight="1">
      <c r="DC3268" s="19"/>
      <c r="DL3268" s="13"/>
    </row>
    <row r="3269" spans="107:116" ht="12.75" customHeight="1">
      <c r="DC3269" s="19"/>
      <c r="DL3269" s="13"/>
    </row>
    <row r="3270" spans="107:116" ht="12.75" customHeight="1">
      <c r="DC3270" s="19"/>
      <c r="DL3270" s="13"/>
    </row>
    <row r="3271" spans="107:116" ht="12.75" customHeight="1">
      <c r="DC3271" s="19"/>
      <c r="DL3271" s="13"/>
    </row>
    <row r="3272" spans="107:116" ht="12.75" customHeight="1">
      <c r="DC3272" s="19"/>
      <c r="DL3272" s="13"/>
    </row>
    <row r="3273" spans="107:116" ht="12.75" customHeight="1">
      <c r="DC3273" s="19"/>
      <c r="DL3273" s="13"/>
    </row>
    <row r="3274" spans="107:116" ht="12.75" customHeight="1">
      <c r="DC3274" s="19"/>
      <c r="DL3274" s="13"/>
    </row>
    <row r="3275" spans="107:116" ht="12.75" customHeight="1">
      <c r="DC3275" s="19"/>
      <c r="DL3275" s="13"/>
    </row>
    <row r="3276" spans="107:116" ht="12.75" customHeight="1">
      <c r="DC3276" s="19"/>
      <c r="DL3276" s="13"/>
    </row>
    <row r="3277" spans="107:116" ht="12.75" customHeight="1">
      <c r="DC3277" s="19"/>
      <c r="DL3277" s="13"/>
    </row>
    <row r="3278" spans="107:116" ht="12.75" customHeight="1">
      <c r="DC3278" s="19"/>
      <c r="DL3278" s="13"/>
    </row>
    <row r="3279" spans="107:116" ht="12.75" customHeight="1">
      <c r="DC3279" s="19"/>
      <c r="DL3279" s="13"/>
    </row>
    <row r="3280" spans="107:116" ht="12.75" customHeight="1">
      <c r="DC3280" s="19"/>
      <c r="DL3280" s="13"/>
    </row>
    <row r="3281" spans="107:116" ht="12.75" customHeight="1">
      <c r="DC3281" s="19"/>
      <c r="DL3281" s="13"/>
    </row>
    <row r="3282" spans="107:116" ht="12.75" customHeight="1">
      <c r="DC3282" s="19"/>
      <c r="DL3282" s="13"/>
    </row>
    <row r="3283" spans="107:116" ht="12.75" customHeight="1">
      <c r="DC3283" s="19"/>
      <c r="DL3283" s="13"/>
    </row>
    <row r="3284" spans="107:116" ht="12.75" customHeight="1">
      <c r="DC3284" s="19"/>
      <c r="DL3284" s="13"/>
    </row>
    <row r="3285" spans="107:116" ht="12.75" customHeight="1">
      <c r="DC3285" s="19"/>
      <c r="DL3285" s="13"/>
    </row>
    <row r="3286" spans="107:116" ht="12.75" customHeight="1">
      <c r="DC3286" s="19"/>
      <c r="DL3286" s="13"/>
    </row>
    <row r="3287" spans="107:116" ht="12.75" customHeight="1">
      <c r="DC3287" s="19"/>
      <c r="DL3287" s="13"/>
    </row>
    <row r="3288" spans="107:116" ht="12.75" customHeight="1">
      <c r="DC3288" s="19"/>
      <c r="DL3288" s="13"/>
    </row>
    <row r="3289" spans="107:116" ht="12.75" customHeight="1">
      <c r="DC3289" s="19"/>
      <c r="DL3289" s="13"/>
    </row>
    <row r="3290" spans="107:116" ht="12.75" customHeight="1">
      <c r="DC3290" s="19"/>
      <c r="DL3290" s="13"/>
    </row>
    <row r="3291" spans="107:116" ht="12.75" customHeight="1">
      <c r="DC3291" s="19"/>
      <c r="DL3291" s="13"/>
    </row>
    <row r="3292" spans="107:116" ht="12.75" customHeight="1">
      <c r="DC3292" s="19"/>
      <c r="DL3292" s="13"/>
    </row>
    <row r="3293" spans="107:116" ht="12.75" customHeight="1">
      <c r="DC3293" s="19"/>
      <c r="DL3293" s="13"/>
    </row>
    <row r="3294" spans="107:116" ht="12.75" customHeight="1">
      <c r="DC3294" s="19"/>
      <c r="DL3294" s="13"/>
    </row>
    <row r="3295" spans="107:116" ht="12.75" customHeight="1">
      <c r="DC3295" s="19"/>
      <c r="DL3295" s="13"/>
    </row>
    <row r="3296" spans="107:116" ht="12.75" customHeight="1">
      <c r="DC3296" s="19"/>
      <c r="DL3296" s="13"/>
    </row>
    <row r="3297" spans="107:116" ht="12.75" customHeight="1">
      <c r="DC3297" s="19"/>
      <c r="DL3297" s="13"/>
    </row>
    <row r="3298" spans="107:116" ht="12.75" customHeight="1">
      <c r="DC3298" s="19"/>
      <c r="DL3298" s="13"/>
    </row>
    <row r="3299" spans="107:116" ht="12.75" customHeight="1">
      <c r="DC3299" s="19"/>
      <c r="DL3299" s="13"/>
    </row>
    <row r="3300" spans="107:116" ht="12.75" customHeight="1">
      <c r="DC3300" s="19"/>
      <c r="DL3300" s="13"/>
    </row>
    <row r="3301" spans="107:116" ht="12.75" customHeight="1">
      <c r="DC3301" s="19"/>
      <c r="DL3301" s="13"/>
    </row>
    <row r="3302" spans="107:116" ht="12.75" customHeight="1">
      <c r="DC3302" s="19"/>
      <c r="DL3302" s="13"/>
    </row>
    <row r="3303" spans="107:116" ht="12.75" customHeight="1">
      <c r="DC3303" s="19"/>
      <c r="DL3303" s="13"/>
    </row>
    <row r="3304" spans="107:116" ht="12.75" customHeight="1">
      <c r="DC3304" s="19"/>
      <c r="DL3304" s="13"/>
    </row>
    <row r="3305" spans="107:116" ht="12.75" customHeight="1">
      <c r="DC3305" s="19"/>
      <c r="DL3305" s="13"/>
    </row>
    <row r="3306" spans="107:116" ht="12.75" customHeight="1">
      <c r="DC3306" s="19"/>
      <c r="DL3306" s="13"/>
    </row>
    <row r="3307" spans="107:116" ht="12.75" customHeight="1">
      <c r="DC3307" s="19"/>
      <c r="DL3307" s="13"/>
    </row>
    <row r="3308" spans="107:116" ht="12.75" customHeight="1">
      <c r="DC3308" s="19"/>
      <c r="DL3308" s="13"/>
    </row>
    <row r="3309" spans="107:116" ht="12.75" customHeight="1">
      <c r="DC3309" s="19"/>
      <c r="DL3309" s="13"/>
    </row>
    <row r="3310" spans="107:116" ht="12.75" customHeight="1">
      <c r="DC3310" s="19"/>
      <c r="DL3310" s="13"/>
    </row>
    <row r="3311" spans="107:116" ht="12.75" customHeight="1">
      <c r="DC3311" s="19"/>
      <c r="DL3311" s="13"/>
    </row>
    <row r="3312" spans="107:116" ht="12.75" customHeight="1">
      <c r="DC3312" s="19"/>
      <c r="DL3312" s="13"/>
    </row>
    <row r="3313" spans="107:116" ht="12.75" customHeight="1">
      <c r="DC3313" s="19"/>
      <c r="DL3313" s="13"/>
    </row>
    <row r="3314" spans="107:116" ht="12.75" customHeight="1">
      <c r="DC3314" s="19"/>
      <c r="DL3314" s="13"/>
    </row>
    <row r="3315" spans="107:116" ht="12.75" customHeight="1">
      <c r="DC3315" s="19"/>
      <c r="DL3315" s="13"/>
    </row>
    <row r="3316" spans="107:116" ht="12.75" customHeight="1">
      <c r="DC3316" s="19"/>
      <c r="DL3316" s="13"/>
    </row>
    <row r="3317" spans="107:116" ht="12.75" customHeight="1">
      <c r="DC3317" s="19"/>
      <c r="DL3317" s="13"/>
    </row>
    <row r="3318" spans="107:116" ht="12.75" customHeight="1">
      <c r="DC3318" s="19"/>
      <c r="DL3318" s="13"/>
    </row>
    <row r="3319" spans="107:116" ht="12.75" customHeight="1">
      <c r="DC3319" s="19"/>
      <c r="DL3319" s="13"/>
    </row>
    <row r="3320" spans="107:116" ht="12.75" customHeight="1">
      <c r="DC3320" s="19"/>
      <c r="DL3320" s="13"/>
    </row>
    <row r="3321" spans="107:116" ht="12.75" customHeight="1">
      <c r="DC3321" s="19"/>
      <c r="DL3321" s="13"/>
    </row>
    <row r="3322" spans="107:116" ht="12.75" customHeight="1">
      <c r="DC3322" s="19"/>
      <c r="DL3322" s="13"/>
    </row>
    <row r="3323" spans="107:116" ht="12.75" customHeight="1">
      <c r="DC3323" s="19"/>
      <c r="DL3323" s="13"/>
    </row>
    <row r="3324" spans="107:116" ht="12.75" customHeight="1">
      <c r="DC3324" s="19"/>
      <c r="DL3324" s="13"/>
    </row>
    <row r="3325" spans="107:116" ht="12.75" customHeight="1">
      <c r="DC3325" s="19"/>
      <c r="DL3325" s="13"/>
    </row>
    <row r="3326" spans="107:116" ht="12.75" customHeight="1">
      <c r="DC3326" s="19"/>
      <c r="DL3326" s="13"/>
    </row>
    <row r="3327" spans="107:116" ht="12.75" customHeight="1">
      <c r="DC3327" s="19"/>
      <c r="DL3327" s="13"/>
    </row>
    <row r="3328" spans="107:116" ht="12.75" customHeight="1">
      <c r="DC3328" s="19"/>
      <c r="DL3328" s="13"/>
    </row>
    <row r="3329" spans="107:116" ht="12.75" customHeight="1">
      <c r="DC3329" s="19"/>
      <c r="DL3329" s="13"/>
    </row>
    <row r="3330" spans="107:116" ht="12.75" customHeight="1">
      <c r="DC3330" s="19"/>
      <c r="DL3330" s="13"/>
    </row>
    <row r="3331" spans="107:116" ht="12.75" customHeight="1">
      <c r="DC3331" s="19"/>
      <c r="DL3331" s="13"/>
    </row>
    <row r="3332" spans="107:116" ht="12.75" customHeight="1">
      <c r="DC3332" s="19"/>
      <c r="DL3332" s="13"/>
    </row>
    <row r="3333" spans="107:116" ht="12.75" customHeight="1">
      <c r="DC3333" s="19"/>
      <c r="DL3333" s="13"/>
    </row>
    <row r="3334" spans="107:116" ht="12.75" customHeight="1">
      <c r="DC3334" s="19"/>
      <c r="DL3334" s="13"/>
    </row>
    <row r="3335" spans="107:116" ht="12.75" customHeight="1">
      <c r="DC3335" s="19"/>
      <c r="DL3335" s="13"/>
    </row>
    <row r="3336" spans="107:116" ht="12.75" customHeight="1">
      <c r="DC3336" s="19"/>
      <c r="DL3336" s="13"/>
    </row>
    <row r="3337" spans="107:116" ht="12.75" customHeight="1">
      <c r="DC3337" s="19"/>
      <c r="DL3337" s="13"/>
    </row>
    <row r="3338" spans="107:116" ht="12.75" customHeight="1">
      <c r="DC3338" s="19"/>
      <c r="DL3338" s="13"/>
    </row>
    <row r="3339" spans="107:116" ht="12.75" customHeight="1">
      <c r="DC3339" s="19"/>
      <c r="DL3339" s="13"/>
    </row>
    <row r="3340" spans="107:116" ht="12.75" customHeight="1">
      <c r="DC3340" s="19"/>
      <c r="DL3340" s="13"/>
    </row>
    <row r="3341" spans="107:116" ht="12.75" customHeight="1">
      <c r="DC3341" s="19"/>
      <c r="DL3341" s="13"/>
    </row>
    <row r="3342" spans="107:116" ht="12.75" customHeight="1">
      <c r="DC3342" s="19"/>
      <c r="DL3342" s="13"/>
    </row>
    <row r="3343" spans="107:116" ht="12.75" customHeight="1">
      <c r="DC3343" s="19"/>
      <c r="DL3343" s="13"/>
    </row>
    <row r="3344" spans="107:116" ht="12.75" customHeight="1">
      <c r="DC3344" s="19"/>
      <c r="DL3344" s="13"/>
    </row>
    <row r="3345" spans="107:116" ht="12.75" customHeight="1">
      <c r="DC3345" s="19"/>
      <c r="DL3345" s="13"/>
    </row>
    <row r="3346" spans="107:116" ht="12.75" customHeight="1">
      <c r="DC3346" s="19"/>
      <c r="DL3346" s="13"/>
    </row>
    <row r="3347" spans="107:116" ht="12.75" customHeight="1">
      <c r="DC3347" s="19"/>
      <c r="DL3347" s="13"/>
    </row>
    <row r="3348" spans="107:116" ht="12.75" customHeight="1">
      <c r="DC3348" s="19"/>
      <c r="DL3348" s="13"/>
    </row>
    <row r="3349" spans="107:116" ht="12.75" customHeight="1">
      <c r="DC3349" s="19"/>
      <c r="DL3349" s="13"/>
    </row>
    <row r="3350" spans="107:116" ht="12.75" customHeight="1">
      <c r="DC3350" s="19"/>
      <c r="DL3350" s="13"/>
    </row>
    <row r="3351" spans="107:116" ht="12.75" customHeight="1">
      <c r="DC3351" s="19"/>
      <c r="DL3351" s="13"/>
    </row>
    <row r="3352" spans="107:116" ht="12.75" customHeight="1">
      <c r="DC3352" s="19"/>
      <c r="DL3352" s="13"/>
    </row>
    <row r="3353" spans="107:116" ht="12.75" customHeight="1">
      <c r="DC3353" s="19"/>
      <c r="DL3353" s="13"/>
    </row>
    <row r="3354" spans="107:116" ht="12.75" customHeight="1">
      <c r="DC3354" s="19"/>
      <c r="DL3354" s="13"/>
    </row>
    <row r="3355" spans="107:116" ht="12.75" customHeight="1">
      <c r="DC3355" s="19"/>
      <c r="DL3355" s="13"/>
    </row>
    <row r="3356" spans="107:116" ht="12.75" customHeight="1">
      <c r="DC3356" s="19"/>
      <c r="DL3356" s="13"/>
    </row>
    <row r="3357" spans="107:116" ht="12.75" customHeight="1">
      <c r="DC3357" s="19"/>
      <c r="DL3357" s="13"/>
    </row>
    <row r="3358" spans="107:116" ht="12.75" customHeight="1">
      <c r="DC3358" s="19"/>
      <c r="DL3358" s="13"/>
    </row>
    <row r="3359" spans="107:116" ht="12.75" customHeight="1">
      <c r="DC3359" s="19"/>
      <c r="DL3359" s="13"/>
    </row>
    <row r="3360" spans="107:116" ht="12.75" customHeight="1">
      <c r="DC3360" s="19"/>
      <c r="DL3360" s="13"/>
    </row>
    <row r="3361" spans="107:116" ht="12.75" customHeight="1">
      <c r="DC3361" s="19"/>
      <c r="DL3361" s="13"/>
    </row>
    <row r="3362" spans="107:116" ht="12.75" customHeight="1">
      <c r="DC3362" s="19"/>
      <c r="DL3362" s="13"/>
    </row>
    <row r="3363" spans="107:116" ht="12.75" customHeight="1">
      <c r="DC3363" s="19"/>
      <c r="DL3363" s="13"/>
    </row>
    <row r="3364" spans="107:116" ht="12.75" customHeight="1">
      <c r="DC3364" s="19"/>
      <c r="DL3364" s="13"/>
    </row>
    <row r="3365" spans="107:116" ht="12.75" customHeight="1">
      <c r="DC3365" s="19"/>
      <c r="DL3365" s="13"/>
    </row>
    <row r="3366" spans="107:116" ht="12.75" customHeight="1">
      <c r="DC3366" s="19"/>
      <c r="DL3366" s="13"/>
    </row>
    <row r="3367" spans="107:116" ht="12.75" customHeight="1">
      <c r="DC3367" s="19"/>
      <c r="DL3367" s="13"/>
    </row>
    <row r="3368" spans="107:116" ht="12.75" customHeight="1">
      <c r="DC3368" s="19"/>
      <c r="DL3368" s="13"/>
    </row>
    <row r="3369" spans="107:116" ht="12.75" customHeight="1">
      <c r="DC3369" s="19"/>
      <c r="DL3369" s="13"/>
    </row>
    <row r="3370" spans="107:116" ht="12.75" customHeight="1">
      <c r="DC3370" s="19"/>
      <c r="DL3370" s="13"/>
    </row>
    <row r="3371" spans="107:116" ht="12.75" customHeight="1">
      <c r="DC3371" s="19"/>
      <c r="DL3371" s="13"/>
    </row>
    <row r="3372" spans="107:116" ht="12.75" customHeight="1">
      <c r="DC3372" s="19"/>
      <c r="DL3372" s="13"/>
    </row>
    <row r="3373" spans="107:116" ht="12.75" customHeight="1">
      <c r="DC3373" s="19"/>
      <c r="DL3373" s="13"/>
    </row>
    <row r="3374" spans="107:116" ht="12.75" customHeight="1">
      <c r="DC3374" s="19"/>
      <c r="DL3374" s="13"/>
    </row>
    <row r="3375" spans="107:116" ht="12.75" customHeight="1">
      <c r="DC3375" s="19"/>
      <c r="DL3375" s="13"/>
    </row>
    <row r="3376" spans="107:116" ht="12.75" customHeight="1">
      <c r="DC3376" s="19"/>
      <c r="DL3376" s="13"/>
    </row>
    <row r="3377" spans="107:116" ht="12.75" customHeight="1">
      <c r="DC3377" s="19"/>
      <c r="DL3377" s="13"/>
    </row>
    <row r="3378" spans="107:116" ht="12.75" customHeight="1">
      <c r="DC3378" s="19"/>
      <c r="DL3378" s="13"/>
    </row>
    <row r="3379" spans="107:116" ht="12.75" customHeight="1">
      <c r="DC3379" s="19"/>
      <c r="DL3379" s="13"/>
    </row>
    <row r="3380" spans="107:116" ht="12.75" customHeight="1">
      <c r="DC3380" s="19"/>
      <c r="DL3380" s="13"/>
    </row>
    <row r="3381" spans="107:116" ht="12.75" customHeight="1">
      <c r="DC3381" s="19"/>
      <c r="DL3381" s="13"/>
    </row>
    <row r="3382" spans="107:116" ht="12.75" customHeight="1">
      <c r="DC3382" s="19"/>
      <c r="DL3382" s="13"/>
    </row>
    <row r="3383" spans="107:116" ht="12.75" customHeight="1">
      <c r="DC3383" s="19"/>
      <c r="DL3383" s="13"/>
    </row>
    <row r="3384" spans="107:116" ht="12.75" customHeight="1">
      <c r="DC3384" s="19"/>
      <c r="DL3384" s="13"/>
    </row>
    <row r="3385" spans="107:116" ht="12.75" customHeight="1">
      <c r="DC3385" s="19"/>
      <c r="DL3385" s="13"/>
    </row>
    <row r="3386" spans="107:116" ht="12.75" customHeight="1">
      <c r="DC3386" s="19"/>
      <c r="DL3386" s="13"/>
    </row>
    <row r="3387" spans="107:116" ht="12.75" customHeight="1">
      <c r="DC3387" s="19"/>
      <c r="DL3387" s="13"/>
    </row>
    <row r="3388" spans="107:116" ht="12.75" customHeight="1">
      <c r="DC3388" s="19"/>
      <c r="DL3388" s="13"/>
    </row>
    <row r="3389" spans="107:116" ht="12.75" customHeight="1">
      <c r="DC3389" s="19"/>
      <c r="DL3389" s="13"/>
    </row>
    <row r="3390" spans="107:116" ht="12.75" customHeight="1">
      <c r="DC3390" s="19"/>
      <c r="DL3390" s="13"/>
    </row>
    <row r="3391" spans="107:116" ht="12.75" customHeight="1">
      <c r="DC3391" s="19"/>
      <c r="DL3391" s="13"/>
    </row>
    <row r="3392" spans="107:116" ht="12.75" customHeight="1">
      <c r="DC3392" s="19"/>
      <c r="DL3392" s="13"/>
    </row>
    <row r="3393" spans="107:116" ht="12.75" customHeight="1">
      <c r="DC3393" s="19"/>
      <c r="DL3393" s="13"/>
    </row>
    <row r="3394" spans="107:116" ht="12.75" customHeight="1">
      <c r="DC3394" s="19"/>
      <c r="DL3394" s="13"/>
    </row>
    <row r="3395" spans="107:116" ht="12.75" customHeight="1">
      <c r="DC3395" s="19"/>
      <c r="DL3395" s="13"/>
    </row>
    <row r="3396" spans="107:116" ht="12.75" customHeight="1">
      <c r="DC3396" s="19"/>
      <c r="DL3396" s="13"/>
    </row>
    <row r="3397" spans="107:116" ht="12.75" customHeight="1">
      <c r="DC3397" s="19"/>
      <c r="DL3397" s="13"/>
    </row>
    <row r="3398" spans="107:116" ht="12.75" customHeight="1">
      <c r="DC3398" s="19"/>
      <c r="DL3398" s="13"/>
    </row>
    <row r="3399" spans="107:116" ht="12.75" customHeight="1">
      <c r="DC3399" s="19"/>
      <c r="DL3399" s="13"/>
    </row>
    <row r="3400" spans="107:116" ht="12.75" customHeight="1">
      <c r="DC3400" s="19"/>
      <c r="DL3400" s="13"/>
    </row>
    <row r="3401" spans="107:116" ht="12.75" customHeight="1">
      <c r="DC3401" s="19"/>
      <c r="DL3401" s="13"/>
    </row>
    <row r="3402" spans="107:116" ht="12.75" customHeight="1">
      <c r="DC3402" s="19"/>
      <c r="DL3402" s="13"/>
    </row>
    <row r="3403" spans="107:116" ht="12.75" customHeight="1">
      <c r="DC3403" s="19"/>
      <c r="DL3403" s="13"/>
    </row>
    <row r="3404" spans="107:116" ht="12.75" customHeight="1">
      <c r="DC3404" s="19"/>
      <c r="DL3404" s="13"/>
    </row>
    <row r="3405" spans="107:116" ht="12.75" customHeight="1">
      <c r="DC3405" s="19"/>
      <c r="DL3405" s="13"/>
    </row>
    <row r="3406" spans="107:116" ht="12.75" customHeight="1">
      <c r="DC3406" s="19"/>
      <c r="DL3406" s="13"/>
    </row>
    <row r="3407" spans="107:116" ht="12.75" customHeight="1">
      <c r="DC3407" s="19"/>
      <c r="DL3407" s="13"/>
    </row>
    <row r="3408" spans="107:116" ht="12.75" customHeight="1">
      <c r="DC3408" s="19"/>
      <c r="DL3408" s="13"/>
    </row>
    <row r="3409" spans="107:116" ht="12.75" customHeight="1">
      <c r="DC3409" s="19"/>
      <c r="DL3409" s="13"/>
    </row>
    <row r="3410" spans="107:116" ht="12.75" customHeight="1">
      <c r="DC3410" s="19"/>
      <c r="DL3410" s="13"/>
    </row>
    <row r="3411" spans="107:116" ht="12.75" customHeight="1">
      <c r="DC3411" s="19"/>
      <c r="DL3411" s="13"/>
    </row>
    <row r="3412" spans="107:116" ht="12.75" customHeight="1">
      <c r="DC3412" s="19"/>
      <c r="DL3412" s="13"/>
    </row>
    <row r="3413" spans="107:116" ht="12.75" customHeight="1">
      <c r="DC3413" s="19"/>
      <c r="DL3413" s="13"/>
    </row>
    <row r="3414" spans="107:116" ht="12.75" customHeight="1">
      <c r="DC3414" s="19"/>
      <c r="DL3414" s="13"/>
    </row>
    <row r="3415" spans="107:116" ht="12.75" customHeight="1">
      <c r="DC3415" s="19"/>
      <c r="DL3415" s="13"/>
    </row>
    <row r="3416" spans="107:116" ht="12.75" customHeight="1">
      <c r="DC3416" s="19"/>
      <c r="DL3416" s="13"/>
    </row>
    <row r="3417" spans="107:116" ht="12.75" customHeight="1">
      <c r="DC3417" s="19"/>
      <c r="DL3417" s="13"/>
    </row>
    <row r="3418" spans="107:116" ht="12.75" customHeight="1">
      <c r="DC3418" s="19"/>
      <c r="DL3418" s="13"/>
    </row>
    <row r="3419" spans="107:116" ht="12.75" customHeight="1">
      <c r="DC3419" s="19"/>
      <c r="DL3419" s="13"/>
    </row>
    <row r="3420" spans="107:116" ht="12.75" customHeight="1">
      <c r="DC3420" s="19"/>
      <c r="DL3420" s="13"/>
    </row>
    <row r="3421" spans="107:116" ht="12.75" customHeight="1">
      <c r="DC3421" s="19"/>
      <c r="DL3421" s="13"/>
    </row>
    <row r="3422" spans="107:116" ht="12.75" customHeight="1">
      <c r="DC3422" s="19"/>
      <c r="DL3422" s="13"/>
    </row>
    <row r="3423" spans="107:116" ht="12.75" customHeight="1">
      <c r="DC3423" s="19"/>
      <c r="DL3423" s="13"/>
    </row>
    <row r="3424" spans="107:116" ht="12.75" customHeight="1">
      <c r="DC3424" s="19"/>
      <c r="DL3424" s="13"/>
    </row>
    <row r="3425" spans="107:116" ht="12.75" customHeight="1">
      <c r="DC3425" s="19"/>
      <c r="DL3425" s="13"/>
    </row>
    <row r="3426" spans="107:116" ht="12.75" customHeight="1">
      <c r="DC3426" s="19"/>
      <c r="DL3426" s="13"/>
    </row>
    <row r="3427" spans="107:116" ht="12.75" customHeight="1">
      <c r="DC3427" s="19"/>
      <c r="DL3427" s="13"/>
    </row>
    <row r="3428" spans="107:116" ht="12.75" customHeight="1">
      <c r="DC3428" s="19"/>
      <c r="DL3428" s="13"/>
    </row>
    <row r="3429" spans="107:116" ht="12.75" customHeight="1">
      <c r="DC3429" s="19"/>
      <c r="DL3429" s="13"/>
    </row>
    <row r="3430" spans="107:116" ht="12.75" customHeight="1">
      <c r="DC3430" s="19"/>
      <c r="DL3430" s="13"/>
    </row>
    <row r="3431" spans="107:116" ht="12.75" customHeight="1">
      <c r="DC3431" s="19"/>
      <c r="DL3431" s="13"/>
    </row>
    <row r="3432" spans="107:116" ht="12.75" customHeight="1">
      <c r="DC3432" s="19"/>
      <c r="DL3432" s="13"/>
    </row>
    <row r="3433" spans="107:116" ht="12.75" customHeight="1">
      <c r="DC3433" s="19"/>
      <c r="DL3433" s="13"/>
    </row>
    <row r="3434" spans="107:116" ht="12.75" customHeight="1">
      <c r="DC3434" s="19"/>
      <c r="DL3434" s="13"/>
    </row>
    <row r="3435" spans="107:116" ht="12.75" customHeight="1">
      <c r="DC3435" s="19"/>
      <c r="DL3435" s="13"/>
    </row>
    <row r="3436" spans="107:116" ht="12.75" customHeight="1">
      <c r="DC3436" s="19"/>
      <c r="DL3436" s="13"/>
    </row>
    <row r="3437" spans="107:116" ht="12.75" customHeight="1">
      <c r="DC3437" s="19"/>
      <c r="DL3437" s="13"/>
    </row>
    <row r="3438" spans="107:116" ht="12.75" customHeight="1">
      <c r="DC3438" s="19"/>
      <c r="DL3438" s="13"/>
    </row>
    <row r="3439" spans="107:116" ht="12.75" customHeight="1">
      <c r="DC3439" s="19"/>
      <c r="DL3439" s="13"/>
    </row>
    <row r="3440" spans="107:116" ht="12.75" customHeight="1">
      <c r="DC3440" s="19"/>
      <c r="DL3440" s="13"/>
    </row>
    <row r="3441" spans="107:116" ht="12.75" customHeight="1">
      <c r="DC3441" s="19"/>
      <c r="DL3441" s="13"/>
    </row>
    <row r="3442" spans="107:116" ht="12.75" customHeight="1">
      <c r="DC3442" s="19"/>
      <c r="DL3442" s="13"/>
    </row>
    <row r="3443" spans="107:116" ht="12.75" customHeight="1">
      <c r="DC3443" s="19"/>
      <c r="DL3443" s="13"/>
    </row>
    <row r="3444" spans="107:116" ht="12.75" customHeight="1">
      <c r="DC3444" s="19"/>
      <c r="DL3444" s="13"/>
    </row>
    <row r="3445" spans="107:116" ht="12.75" customHeight="1">
      <c r="DC3445" s="19"/>
      <c r="DL3445" s="13"/>
    </row>
    <row r="3446" spans="107:116" ht="12.75" customHeight="1">
      <c r="DC3446" s="19"/>
      <c r="DL3446" s="13"/>
    </row>
    <row r="3447" spans="107:116" ht="12.75" customHeight="1">
      <c r="DC3447" s="19"/>
      <c r="DL3447" s="13"/>
    </row>
    <row r="3448" spans="107:116" ht="12.75" customHeight="1">
      <c r="DC3448" s="19"/>
      <c r="DL3448" s="13"/>
    </row>
    <row r="3449" spans="107:116" ht="12.75" customHeight="1">
      <c r="DC3449" s="19"/>
      <c r="DL3449" s="13"/>
    </row>
    <row r="3450" spans="107:116" ht="12.75" customHeight="1">
      <c r="DC3450" s="19"/>
      <c r="DL3450" s="13"/>
    </row>
    <row r="3451" spans="107:116" ht="12.75" customHeight="1">
      <c r="DC3451" s="19"/>
      <c r="DL3451" s="13"/>
    </row>
    <row r="3452" spans="107:116" ht="12.75" customHeight="1">
      <c r="DC3452" s="19"/>
      <c r="DL3452" s="13"/>
    </row>
    <row r="3453" spans="107:116" ht="12.75" customHeight="1">
      <c r="DC3453" s="19"/>
      <c r="DL3453" s="13"/>
    </row>
    <row r="3454" spans="107:116" ht="12.75" customHeight="1">
      <c r="DC3454" s="19"/>
      <c r="DL3454" s="13"/>
    </row>
    <row r="3455" spans="107:116" ht="12.75" customHeight="1">
      <c r="DC3455" s="19"/>
      <c r="DL3455" s="13"/>
    </row>
    <row r="3456" spans="107:116" ht="12.75" customHeight="1">
      <c r="DC3456" s="19"/>
      <c r="DL3456" s="13"/>
    </row>
    <row r="3457" spans="107:116" ht="12.75" customHeight="1">
      <c r="DC3457" s="19"/>
      <c r="DL3457" s="13"/>
    </row>
    <row r="3458" spans="107:116" ht="12.75" customHeight="1">
      <c r="DC3458" s="19"/>
      <c r="DL3458" s="13"/>
    </row>
    <row r="3459" spans="107:116" ht="12.75" customHeight="1">
      <c r="DC3459" s="19"/>
      <c r="DL3459" s="13"/>
    </row>
    <row r="3460" spans="107:116" ht="12.75" customHeight="1">
      <c r="DC3460" s="19"/>
      <c r="DL3460" s="13"/>
    </row>
    <row r="3461" spans="107:116" ht="12.75" customHeight="1">
      <c r="DC3461" s="19"/>
      <c r="DL3461" s="13"/>
    </row>
    <row r="3462" spans="107:116" ht="12.75" customHeight="1">
      <c r="DC3462" s="19"/>
      <c r="DL3462" s="13"/>
    </row>
    <row r="3463" spans="107:116" ht="12.75" customHeight="1">
      <c r="DC3463" s="19"/>
      <c r="DL3463" s="13"/>
    </row>
    <row r="3464" spans="107:116" ht="12.75" customHeight="1">
      <c r="DC3464" s="19"/>
      <c r="DL3464" s="13"/>
    </row>
    <row r="3465" spans="107:116" ht="12.75" customHeight="1">
      <c r="DC3465" s="19"/>
      <c r="DL3465" s="13"/>
    </row>
    <row r="3466" spans="107:116" ht="12.75" customHeight="1">
      <c r="DC3466" s="19"/>
      <c r="DL3466" s="13"/>
    </row>
    <row r="3467" spans="107:116" ht="12.75" customHeight="1">
      <c r="DC3467" s="19"/>
      <c r="DL3467" s="13"/>
    </row>
    <row r="3468" spans="107:116" ht="12.75" customHeight="1">
      <c r="DC3468" s="19"/>
      <c r="DL3468" s="13"/>
    </row>
    <row r="3469" spans="107:116" ht="12.75" customHeight="1">
      <c r="DC3469" s="19"/>
      <c r="DL3469" s="13"/>
    </row>
    <row r="3470" spans="107:116" ht="12.75" customHeight="1">
      <c r="DC3470" s="19"/>
      <c r="DL3470" s="13"/>
    </row>
    <row r="3471" spans="107:116" ht="12.75" customHeight="1">
      <c r="DC3471" s="19"/>
      <c r="DL3471" s="13"/>
    </row>
    <row r="3472" spans="107:116" ht="12.75" customHeight="1">
      <c r="DC3472" s="19"/>
      <c r="DL3472" s="13"/>
    </row>
    <row r="3473" spans="107:116" ht="12.75" customHeight="1">
      <c r="DC3473" s="19"/>
      <c r="DL3473" s="13"/>
    </row>
    <row r="3474" spans="107:116" ht="12.75" customHeight="1">
      <c r="DC3474" s="19"/>
      <c r="DL3474" s="13"/>
    </row>
    <row r="3475" spans="107:116" ht="12.75" customHeight="1">
      <c r="DC3475" s="19"/>
      <c r="DL3475" s="13"/>
    </row>
    <row r="3476" spans="107:116" ht="12.75" customHeight="1">
      <c r="DC3476" s="19"/>
      <c r="DL3476" s="13"/>
    </row>
    <row r="3477" spans="107:116" ht="12.75" customHeight="1">
      <c r="DC3477" s="19"/>
      <c r="DL3477" s="13"/>
    </row>
    <row r="3478" spans="107:116" ht="12.75" customHeight="1">
      <c r="DC3478" s="19"/>
      <c r="DL3478" s="13"/>
    </row>
    <row r="3479" spans="107:116" ht="12.75" customHeight="1">
      <c r="DC3479" s="19"/>
      <c r="DL3479" s="13"/>
    </row>
    <row r="3480" spans="107:116" ht="12.75" customHeight="1">
      <c r="DC3480" s="19"/>
      <c r="DL3480" s="13"/>
    </row>
    <row r="3481" spans="107:116" ht="12.75" customHeight="1">
      <c r="DC3481" s="19"/>
      <c r="DL3481" s="13"/>
    </row>
    <row r="3482" spans="107:116" ht="12.75" customHeight="1">
      <c r="DC3482" s="19"/>
      <c r="DL3482" s="13"/>
    </row>
    <row r="3483" spans="107:116" ht="12.75" customHeight="1">
      <c r="DC3483" s="19"/>
      <c r="DL3483" s="13"/>
    </row>
    <row r="3484" spans="107:116" ht="12.75" customHeight="1">
      <c r="DC3484" s="19"/>
      <c r="DL3484" s="13"/>
    </row>
    <row r="3485" spans="107:116" ht="12.75" customHeight="1">
      <c r="DC3485" s="19"/>
      <c r="DL3485" s="13"/>
    </row>
    <row r="3486" spans="107:116" ht="12.75" customHeight="1">
      <c r="DC3486" s="19"/>
      <c r="DL3486" s="13"/>
    </row>
    <row r="3487" spans="107:116" ht="12.75" customHeight="1">
      <c r="DC3487" s="19"/>
      <c r="DL3487" s="13"/>
    </row>
    <row r="3488" spans="107:116" ht="12.75" customHeight="1">
      <c r="DC3488" s="19"/>
      <c r="DL3488" s="13"/>
    </row>
    <row r="3489" spans="107:116" ht="12.75" customHeight="1">
      <c r="DC3489" s="19"/>
      <c r="DL3489" s="13"/>
    </row>
    <row r="3490" spans="107:116" ht="12.75" customHeight="1">
      <c r="DC3490" s="19"/>
      <c r="DL3490" s="13"/>
    </row>
    <row r="3491" spans="107:116" ht="12.75" customHeight="1">
      <c r="DC3491" s="19"/>
      <c r="DL3491" s="13"/>
    </row>
    <row r="3492" spans="107:116" ht="12.75" customHeight="1">
      <c r="DC3492" s="19"/>
      <c r="DL3492" s="13"/>
    </row>
    <row r="3493" spans="107:116" ht="12.75" customHeight="1">
      <c r="DC3493" s="19"/>
      <c r="DL3493" s="13"/>
    </row>
    <row r="3494" spans="107:116" ht="12.75" customHeight="1">
      <c r="DC3494" s="19"/>
      <c r="DL3494" s="13"/>
    </row>
    <row r="3495" spans="107:116" ht="12.75" customHeight="1">
      <c r="DC3495" s="19"/>
      <c r="DL3495" s="13"/>
    </row>
    <row r="3496" spans="107:116" ht="12.75" customHeight="1">
      <c r="DC3496" s="19"/>
      <c r="DL3496" s="13"/>
    </row>
    <row r="3497" spans="107:116" ht="12.75" customHeight="1">
      <c r="DC3497" s="19"/>
      <c r="DL3497" s="13"/>
    </row>
    <row r="3498" spans="107:116" ht="12.75" customHeight="1">
      <c r="DC3498" s="19"/>
      <c r="DL3498" s="13"/>
    </row>
    <row r="3499" spans="107:116" ht="12.75" customHeight="1">
      <c r="DC3499" s="19"/>
      <c r="DL3499" s="13"/>
    </row>
    <row r="3500" spans="107:116" ht="12.75" customHeight="1">
      <c r="DC3500" s="19"/>
      <c r="DL3500" s="13"/>
    </row>
    <row r="3501" spans="107:116" ht="12.75" customHeight="1">
      <c r="DC3501" s="19"/>
      <c r="DL3501" s="13"/>
    </row>
    <row r="3502" spans="107:116" ht="12.75" customHeight="1">
      <c r="DC3502" s="19"/>
      <c r="DL3502" s="13"/>
    </row>
    <row r="3503" spans="107:116" ht="12.75" customHeight="1">
      <c r="DC3503" s="19"/>
      <c r="DL3503" s="13"/>
    </row>
    <row r="3504" spans="107:116" ht="12.75" customHeight="1">
      <c r="DC3504" s="19"/>
      <c r="DL3504" s="13"/>
    </row>
    <row r="3505" spans="107:116" ht="12.75" customHeight="1">
      <c r="DC3505" s="19"/>
      <c r="DL3505" s="13"/>
    </row>
    <row r="3506" spans="107:116" ht="12.75" customHeight="1">
      <c r="DC3506" s="19"/>
      <c r="DL3506" s="13"/>
    </row>
    <row r="3507" spans="107:116" ht="12.75" customHeight="1">
      <c r="DC3507" s="19"/>
      <c r="DL3507" s="13"/>
    </row>
    <row r="3508" spans="107:116" ht="12.75" customHeight="1">
      <c r="DC3508" s="19"/>
      <c r="DL3508" s="13"/>
    </row>
    <row r="3509" spans="107:116" ht="12.75" customHeight="1">
      <c r="DC3509" s="19"/>
      <c r="DL3509" s="13"/>
    </row>
    <row r="3510" spans="107:116" ht="12.75" customHeight="1">
      <c r="DC3510" s="19"/>
      <c r="DL3510" s="13"/>
    </row>
    <row r="3511" spans="107:116" ht="12.75" customHeight="1">
      <c r="DC3511" s="19"/>
      <c r="DL3511" s="13"/>
    </row>
    <row r="3512" spans="107:116" ht="12.75" customHeight="1">
      <c r="DC3512" s="19"/>
      <c r="DL3512" s="13"/>
    </row>
    <row r="3513" spans="107:116" ht="12.75" customHeight="1">
      <c r="DC3513" s="19"/>
      <c r="DL3513" s="13"/>
    </row>
    <row r="3514" spans="107:116" ht="12.75" customHeight="1">
      <c r="DC3514" s="19"/>
      <c r="DL3514" s="13"/>
    </row>
    <row r="3515" spans="107:116" ht="12.75" customHeight="1">
      <c r="DC3515" s="19"/>
      <c r="DL3515" s="13"/>
    </row>
    <row r="3516" spans="107:116" ht="12.75" customHeight="1">
      <c r="DC3516" s="19"/>
      <c r="DL3516" s="13"/>
    </row>
    <row r="3517" spans="107:116" ht="12.75" customHeight="1">
      <c r="DC3517" s="19"/>
      <c r="DL3517" s="13"/>
    </row>
    <row r="3518" spans="107:116" ht="12.75" customHeight="1">
      <c r="DC3518" s="19"/>
      <c r="DL3518" s="13"/>
    </row>
    <row r="3519" spans="107:116" ht="12.75" customHeight="1">
      <c r="DC3519" s="19"/>
      <c r="DL3519" s="13"/>
    </row>
    <row r="3520" spans="107:116" ht="12.75" customHeight="1">
      <c r="DC3520" s="19"/>
      <c r="DL3520" s="13"/>
    </row>
    <row r="3521" spans="107:116" ht="12.75" customHeight="1">
      <c r="DC3521" s="19"/>
      <c r="DL3521" s="13"/>
    </row>
    <row r="3522" spans="107:116" ht="12.75" customHeight="1">
      <c r="DC3522" s="19"/>
      <c r="DL3522" s="13"/>
    </row>
    <row r="3523" spans="107:116" ht="12.75" customHeight="1">
      <c r="DC3523" s="19"/>
      <c r="DL3523" s="13"/>
    </row>
    <row r="3524" spans="107:116" ht="12.75" customHeight="1">
      <c r="DC3524" s="19"/>
      <c r="DL3524" s="13"/>
    </row>
    <row r="3525" spans="107:116" ht="12.75" customHeight="1">
      <c r="DC3525" s="19"/>
      <c r="DL3525" s="13"/>
    </row>
    <row r="3526" spans="107:116" ht="12.75" customHeight="1">
      <c r="DC3526" s="19"/>
      <c r="DL3526" s="13"/>
    </row>
    <row r="3527" spans="107:116" ht="12.75" customHeight="1">
      <c r="DC3527" s="19"/>
      <c r="DL3527" s="13"/>
    </row>
    <row r="3528" spans="107:116" ht="12.75" customHeight="1">
      <c r="DC3528" s="19"/>
      <c r="DL3528" s="13"/>
    </row>
    <row r="3529" spans="107:116" ht="12.75" customHeight="1">
      <c r="DC3529" s="19"/>
      <c r="DL3529" s="13"/>
    </row>
    <row r="3530" spans="107:116" ht="12.75" customHeight="1">
      <c r="DC3530" s="19"/>
      <c r="DL3530" s="13"/>
    </row>
    <row r="3531" spans="107:116" ht="12.75" customHeight="1">
      <c r="DC3531" s="19"/>
      <c r="DL3531" s="13"/>
    </row>
    <row r="3532" spans="107:116" ht="12.75" customHeight="1">
      <c r="DC3532" s="19"/>
      <c r="DL3532" s="13"/>
    </row>
    <row r="3533" spans="107:116" ht="12.75" customHeight="1">
      <c r="DC3533" s="19"/>
      <c r="DL3533" s="13"/>
    </row>
    <row r="3534" spans="107:116" ht="12.75" customHeight="1">
      <c r="DC3534" s="19"/>
      <c r="DL3534" s="13"/>
    </row>
    <row r="3535" spans="107:116" ht="12.75" customHeight="1">
      <c r="DC3535" s="19"/>
      <c r="DL3535" s="13"/>
    </row>
    <row r="3536" spans="107:116" ht="12.75" customHeight="1">
      <c r="DC3536" s="19"/>
      <c r="DL3536" s="13"/>
    </row>
    <row r="3537" spans="107:116" ht="12.75" customHeight="1">
      <c r="DC3537" s="19"/>
      <c r="DL3537" s="13"/>
    </row>
    <row r="3538" spans="107:116" ht="12.75" customHeight="1">
      <c r="DC3538" s="19"/>
      <c r="DL3538" s="13"/>
    </row>
    <row r="3539" spans="107:116" ht="12.75" customHeight="1">
      <c r="DC3539" s="19"/>
      <c r="DL3539" s="13"/>
    </row>
    <row r="3540" spans="107:116" ht="12.75" customHeight="1">
      <c r="DC3540" s="19"/>
      <c r="DL3540" s="13"/>
    </row>
    <row r="3541" spans="107:116" ht="12.75" customHeight="1">
      <c r="DC3541" s="19"/>
      <c r="DL3541" s="13"/>
    </row>
    <row r="3542" spans="107:116" ht="12.75" customHeight="1">
      <c r="DC3542" s="19"/>
      <c r="DL3542" s="13"/>
    </row>
    <row r="3543" spans="107:116" ht="12.75" customHeight="1">
      <c r="DC3543" s="19"/>
      <c r="DL3543" s="13"/>
    </row>
    <row r="3544" spans="107:116" ht="12.75" customHeight="1">
      <c r="DC3544" s="19"/>
      <c r="DL3544" s="13"/>
    </row>
    <row r="3545" spans="107:116" ht="12.75" customHeight="1">
      <c r="DC3545" s="19"/>
      <c r="DL3545" s="13"/>
    </row>
    <row r="3546" spans="107:116" ht="12.75" customHeight="1">
      <c r="DC3546" s="19"/>
      <c r="DL3546" s="13"/>
    </row>
    <row r="3547" spans="107:116" ht="12.75" customHeight="1">
      <c r="DC3547" s="19"/>
      <c r="DL3547" s="13"/>
    </row>
    <row r="3548" spans="107:116" ht="12.75" customHeight="1">
      <c r="DC3548" s="19"/>
      <c r="DL3548" s="13"/>
    </row>
    <row r="3549" spans="107:116" ht="12.75" customHeight="1">
      <c r="DC3549" s="19"/>
      <c r="DL3549" s="13"/>
    </row>
    <row r="3550" spans="107:116" ht="12.75" customHeight="1">
      <c r="DC3550" s="19"/>
      <c r="DL3550" s="13"/>
    </row>
    <row r="3551" spans="107:116" ht="12.75" customHeight="1">
      <c r="DC3551" s="19"/>
      <c r="DL3551" s="13"/>
    </row>
    <row r="3552" spans="107:116" ht="12.75" customHeight="1">
      <c r="DC3552" s="19"/>
      <c r="DL3552" s="13"/>
    </row>
    <row r="3553" spans="107:116" ht="12.75" customHeight="1">
      <c r="DC3553" s="19"/>
      <c r="DL3553" s="13"/>
    </row>
    <row r="3554" spans="107:116" ht="12.75" customHeight="1">
      <c r="DC3554" s="19"/>
      <c r="DL3554" s="13"/>
    </row>
    <row r="3555" spans="107:116" ht="12.75" customHeight="1">
      <c r="DC3555" s="19"/>
      <c r="DL3555" s="13"/>
    </row>
    <row r="3556" spans="107:116" ht="12.75" customHeight="1">
      <c r="DC3556" s="19"/>
      <c r="DL3556" s="13"/>
    </row>
    <row r="3557" spans="107:116" ht="12.75" customHeight="1">
      <c r="DC3557" s="19"/>
      <c r="DL3557" s="13"/>
    </row>
    <row r="3558" spans="107:116" ht="12.75" customHeight="1">
      <c r="DC3558" s="19"/>
      <c r="DL3558" s="13"/>
    </row>
    <row r="3559" spans="107:116" ht="12.75" customHeight="1">
      <c r="DC3559" s="19"/>
      <c r="DL3559" s="13"/>
    </row>
    <row r="3560" spans="107:116" ht="12.75" customHeight="1">
      <c r="DC3560" s="19"/>
      <c r="DL3560" s="13"/>
    </row>
    <row r="3561" spans="107:116" ht="12.75" customHeight="1">
      <c r="DC3561" s="19"/>
      <c r="DL3561" s="13"/>
    </row>
    <row r="3562" spans="107:116" ht="12.75" customHeight="1">
      <c r="DC3562" s="19"/>
      <c r="DL3562" s="13"/>
    </row>
    <row r="3563" spans="107:116" ht="12.75" customHeight="1">
      <c r="DC3563" s="19"/>
      <c r="DL3563" s="13"/>
    </row>
    <row r="3564" spans="107:116" ht="12.75" customHeight="1">
      <c r="DC3564" s="19"/>
      <c r="DL3564" s="13"/>
    </row>
    <row r="3565" spans="107:116" ht="12.75" customHeight="1">
      <c r="DC3565" s="19"/>
      <c r="DL3565" s="13"/>
    </row>
    <row r="3566" spans="107:116" ht="12.75" customHeight="1">
      <c r="DC3566" s="19"/>
      <c r="DL3566" s="13"/>
    </row>
    <row r="3567" spans="107:116" ht="12.75" customHeight="1">
      <c r="DC3567" s="19"/>
      <c r="DL3567" s="13"/>
    </row>
    <row r="3568" spans="107:116" ht="12.75" customHeight="1">
      <c r="DC3568" s="19"/>
      <c r="DL3568" s="13"/>
    </row>
    <row r="3569" spans="107:116" ht="12.75" customHeight="1">
      <c r="DC3569" s="19"/>
      <c r="DL3569" s="13"/>
    </row>
    <row r="3570" spans="107:116" ht="12.75" customHeight="1">
      <c r="DC3570" s="19"/>
      <c r="DL3570" s="13"/>
    </row>
    <row r="3571" spans="107:116" ht="12.75" customHeight="1">
      <c r="DC3571" s="19"/>
      <c r="DL3571" s="13"/>
    </row>
    <row r="3572" spans="107:116" ht="12.75" customHeight="1">
      <c r="DC3572" s="19"/>
      <c r="DL3572" s="13"/>
    </row>
    <row r="3573" spans="107:116" ht="12.75" customHeight="1">
      <c r="DC3573" s="19"/>
      <c r="DL3573" s="13"/>
    </row>
    <row r="3574" spans="107:116" ht="12.75" customHeight="1">
      <c r="DC3574" s="19"/>
      <c r="DL3574" s="13"/>
    </row>
    <row r="3575" spans="107:116" ht="12.75" customHeight="1">
      <c r="DC3575" s="19"/>
      <c r="DL3575" s="13"/>
    </row>
    <row r="3576" spans="107:116" ht="12.75" customHeight="1">
      <c r="DC3576" s="19"/>
      <c r="DL3576" s="13"/>
    </row>
    <row r="3577" spans="107:116" ht="12.75" customHeight="1">
      <c r="DC3577" s="19"/>
      <c r="DL3577" s="13"/>
    </row>
    <row r="3578" spans="107:116" ht="12.75" customHeight="1">
      <c r="DC3578" s="19"/>
      <c r="DL3578" s="13"/>
    </row>
    <row r="3579" spans="107:116" ht="12.75" customHeight="1">
      <c r="DC3579" s="19"/>
      <c r="DL3579" s="13"/>
    </row>
    <row r="3580" spans="107:116" ht="12.75" customHeight="1">
      <c r="DC3580" s="19"/>
      <c r="DL3580" s="13"/>
    </row>
    <row r="3581" spans="107:116" ht="12.75" customHeight="1">
      <c r="DC3581" s="19"/>
      <c r="DL3581" s="13"/>
    </row>
    <row r="3582" spans="107:116" ht="12.75" customHeight="1">
      <c r="DC3582" s="19"/>
      <c r="DL3582" s="13"/>
    </row>
    <row r="3583" spans="107:116" ht="12.75" customHeight="1">
      <c r="DC3583" s="19"/>
      <c r="DL3583" s="13"/>
    </row>
    <row r="3584" spans="107:116" ht="12.75" customHeight="1">
      <c r="DC3584" s="19"/>
      <c r="DL3584" s="13"/>
    </row>
    <row r="3585" spans="107:116" ht="12.75" customHeight="1">
      <c r="DC3585" s="19"/>
      <c r="DL3585" s="13"/>
    </row>
    <row r="3586" spans="107:116" ht="12.75" customHeight="1">
      <c r="DC3586" s="19"/>
      <c r="DL3586" s="13"/>
    </row>
    <row r="3587" spans="107:116" ht="12.75" customHeight="1">
      <c r="DC3587" s="19"/>
      <c r="DL3587" s="13"/>
    </row>
    <row r="3588" spans="107:116" ht="12.75" customHeight="1">
      <c r="DC3588" s="19"/>
      <c r="DL3588" s="13"/>
    </row>
    <row r="3589" spans="107:116" ht="12.75" customHeight="1">
      <c r="DC3589" s="19"/>
      <c r="DL3589" s="13"/>
    </row>
    <row r="3590" spans="107:116" ht="12.75" customHeight="1">
      <c r="DC3590" s="19"/>
      <c r="DL3590" s="13"/>
    </row>
    <row r="3591" spans="107:116" ht="12.75" customHeight="1">
      <c r="DC3591" s="19"/>
      <c r="DL3591" s="13"/>
    </row>
    <row r="3592" spans="107:116" ht="12.75" customHeight="1">
      <c r="DC3592" s="19"/>
      <c r="DL3592" s="13"/>
    </row>
    <row r="3593" spans="107:116" ht="12.75" customHeight="1">
      <c r="DC3593" s="19"/>
      <c r="DL3593" s="13"/>
    </row>
    <row r="3594" spans="107:116" ht="12.75" customHeight="1">
      <c r="DC3594" s="19"/>
      <c r="DL3594" s="13"/>
    </row>
    <row r="3595" spans="107:116" ht="12.75" customHeight="1">
      <c r="DC3595" s="19"/>
      <c r="DL3595" s="13"/>
    </row>
    <row r="3596" spans="107:116" ht="12.75" customHeight="1">
      <c r="DC3596" s="19"/>
      <c r="DL3596" s="13"/>
    </row>
    <row r="3597" spans="107:116" ht="12.75" customHeight="1">
      <c r="DC3597" s="19"/>
      <c r="DL3597" s="13"/>
    </row>
    <row r="3598" spans="107:116" ht="12.75" customHeight="1">
      <c r="DC3598" s="19"/>
      <c r="DL3598" s="13"/>
    </row>
    <row r="3599" spans="107:116" ht="12.75" customHeight="1">
      <c r="DC3599" s="19"/>
      <c r="DL3599" s="13"/>
    </row>
    <row r="3600" spans="107:116" ht="12.75" customHeight="1">
      <c r="DC3600" s="19"/>
      <c r="DL3600" s="13"/>
    </row>
    <row r="3601" spans="107:116" ht="12.75" customHeight="1">
      <c r="DC3601" s="19"/>
      <c r="DL3601" s="13"/>
    </row>
    <row r="3602" spans="107:116" ht="12.75" customHeight="1">
      <c r="DC3602" s="19"/>
      <c r="DL3602" s="13"/>
    </row>
    <row r="3603" spans="107:116" ht="12.75" customHeight="1">
      <c r="DC3603" s="19"/>
      <c r="DL3603" s="13"/>
    </row>
    <row r="3604" spans="107:116" ht="12.75" customHeight="1">
      <c r="DC3604" s="19"/>
      <c r="DL3604" s="13"/>
    </row>
    <row r="3605" spans="107:116" ht="12.75" customHeight="1">
      <c r="DC3605" s="19"/>
      <c r="DL3605" s="13"/>
    </row>
    <row r="3606" spans="107:116" ht="12.75" customHeight="1">
      <c r="DC3606" s="19"/>
      <c r="DL3606" s="13"/>
    </row>
    <row r="3607" spans="107:116" ht="12.75" customHeight="1">
      <c r="DC3607" s="19"/>
      <c r="DL3607" s="13"/>
    </row>
    <row r="3608" spans="107:116" ht="12.75" customHeight="1">
      <c r="DC3608" s="19"/>
      <c r="DL3608" s="13"/>
    </row>
    <row r="3609" spans="107:116" ht="12.75" customHeight="1">
      <c r="DC3609" s="19"/>
      <c r="DL3609" s="13"/>
    </row>
    <row r="3610" spans="107:116" ht="12.75" customHeight="1">
      <c r="DC3610" s="19"/>
      <c r="DL3610" s="13"/>
    </row>
    <row r="3611" spans="107:116" ht="12.75" customHeight="1">
      <c r="DC3611" s="19"/>
      <c r="DL3611" s="13"/>
    </row>
    <row r="3612" spans="107:116" ht="12.75" customHeight="1">
      <c r="DC3612" s="19"/>
      <c r="DL3612" s="13"/>
    </row>
    <row r="3613" spans="107:116" ht="12.75" customHeight="1">
      <c r="DC3613" s="19"/>
      <c r="DL3613" s="13"/>
    </row>
    <row r="3614" spans="107:116" ht="12.75" customHeight="1">
      <c r="DC3614" s="19"/>
      <c r="DL3614" s="13"/>
    </row>
    <row r="3615" spans="107:116" ht="12.75" customHeight="1">
      <c r="DC3615" s="19"/>
      <c r="DL3615" s="13"/>
    </row>
    <row r="3616" spans="107:116" ht="12.75" customHeight="1">
      <c r="DC3616" s="19"/>
      <c r="DL3616" s="13"/>
    </row>
    <row r="3617" spans="107:116" ht="12.75" customHeight="1">
      <c r="DC3617" s="19"/>
      <c r="DL3617" s="13"/>
    </row>
    <row r="3618" spans="107:116" ht="12.75" customHeight="1">
      <c r="DC3618" s="19"/>
      <c r="DL3618" s="13"/>
    </row>
    <row r="3619" spans="107:116" ht="12.75" customHeight="1">
      <c r="DC3619" s="19"/>
      <c r="DL3619" s="13"/>
    </row>
    <row r="3620" spans="107:116" ht="12.75" customHeight="1">
      <c r="DC3620" s="19"/>
      <c r="DL3620" s="13"/>
    </row>
    <row r="3621" spans="107:116" ht="12.75" customHeight="1">
      <c r="DC3621" s="19"/>
      <c r="DL3621" s="13"/>
    </row>
    <row r="3622" spans="107:116" ht="12.75" customHeight="1">
      <c r="DC3622" s="19"/>
      <c r="DL3622" s="13"/>
    </row>
    <row r="3623" spans="107:116" ht="12.75" customHeight="1">
      <c r="DC3623" s="19"/>
      <c r="DL3623" s="13"/>
    </row>
    <row r="3624" spans="107:116" ht="12.75" customHeight="1">
      <c r="DC3624" s="19"/>
      <c r="DL3624" s="13"/>
    </row>
    <row r="3625" spans="107:116" ht="12.75" customHeight="1">
      <c r="DC3625" s="19"/>
      <c r="DL3625" s="13"/>
    </row>
    <row r="3626" spans="107:116" ht="12.75" customHeight="1">
      <c r="DC3626" s="19"/>
      <c r="DL3626" s="13"/>
    </row>
    <row r="3627" spans="107:116" ht="12.75" customHeight="1">
      <c r="DC3627" s="19"/>
      <c r="DL3627" s="13"/>
    </row>
    <row r="3628" spans="107:116" ht="12.75" customHeight="1">
      <c r="DC3628" s="19"/>
      <c r="DL3628" s="13"/>
    </row>
    <row r="3629" spans="107:116" ht="12.75" customHeight="1">
      <c r="DC3629" s="19"/>
      <c r="DL3629" s="13"/>
    </row>
    <row r="3630" spans="107:116" ht="12.75" customHeight="1">
      <c r="DC3630" s="19"/>
      <c r="DL3630" s="13"/>
    </row>
    <row r="3631" spans="107:116" ht="12.75" customHeight="1">
      <c r="DC3631" s="19"/>
      <c r="DL3631" s="13"/>
    </row>
    <row r="3632" spans="107:116" ht="12.75" customHeight="1">
      <c r="DC3632" s="19"/>
      <c r="DL3632" s="13"/>
    </row>
    <row r="3633" spans="107:116" ht="12.75" customHeight="1">
      <c r="DC3633" s="19"/>
      <c r="DL3633" s="13"/>
    </row>
    <row r="3634" spans="107:116" ht="12.75" customHeight="1">
      <c r="DC3634" s="19"/>
      <c r="DL3634" s="13"/>
    </row>
    <row r="3635" spans="107:116" ht="12.75" customHeight="1">
      <c r="DC3635" s="19"/>
      <c r="DL3635" s="13"/>
    </row>
    <row r="3636" spans="107:116" ht="12.75" customHeight="1">
      <c r="DC3636" s="19"/>
      <c r="DL3636" s="13"/>
    </row>
    <row r="3637" spans="107:116" ht="12.75" customHeight="1">
      <c r="DC3637" s="19"/>
      <c r="DL3637" s="13"/>
    </row>
    <row r="3638" spans="107:116" ht="12.75" customHeight="1">
      <c r="DC3638" s="19"/>
      <c r="DL3638" s="13"/>
    </row>
    <row r="3639" spans="107:116" ht="12.75" customHeight="1">
      <c r="DC3639" s="19"/>
      <c r="DL3639" s="13"/>
    </row>
    <row r="3640" spans="107:116" ht="12.75" customHeight="1">
      <c r="DC3640" s="19"/>
      <c r="DL3640" s="13"/>
    </row>
    <row r="3641" spans="107:116" ht="12.75" customHeight="1">
      <c r="DC3641" s="19"/>
      <c r="DL3641" s="13"/>
    </row>
    <row r="3642" spans="107:116" ht="12.75" customHeight="1">
      <c r="DC3642" s="19"/>
      <c r="DL3642" s="13"/>
    </row>
    <row r="3643" spans="107:116" ht="12.75" customHeight="1">
      <c r="DC3643" s="19"/>
      <c r="DL3643" s="13"/>
    </row>
    <row r="3644" spans="107:116" ht="12.75" customHeight="1">
      <c r="DC3644" s="19"/>
      <c r="DL3644" s="13"/>
    </row>
    <row r="3645" spans="107:116" ht="12.75" customHeight="1">
      <c r="DC3645" s="19"/>
      <c r="DL3645" s="13"/>
    </row>
    <row r="3646" spans="107:116" ht="12.75" customHeight="1">
      <c r="DC3646" s="19"/>
      <c r="DL3646" s="13"/>
    </row>
    <row r="3647" spans="107:116" ht="12.75" customHeight="1">
      <c r="DC3647" s="19"/>
      <c r="DL3647" s="13"/>
    </row>
    <row r="3648" spans="107:116" ht="12.75" customHeight="1">
      <c r="DC3648" s="19"/>
      <c r="DL3648" s="13"/>
    </row>
    <row r="3649" spans="107:116" ht="12.75" customHeight="1">
      <c r="DC3649" s="19"/>
      <c r="DL3649" s="13"/>
    </row>
    <row r="3650" spans="107:116" ht="12.75" customHeight="1">
      <c r="DC3650" s="19"/>
      <c r="DL3650" s="13"/>
    </row>
    <row r="3651" spans="107:116" ht="12.75" customHeight="1">
      <c r="DC3651" s="19"/>
      <c r="DL3651" s="13"/>
    </row>
    <row r="3652" spans="107:116" ht="12.75" customHeight="1">
      <c r="DC3652" s="19"/>
      <c r="DL3652" s="13"/>
    </row>
    <row r="3653" spans="107:116" ht="12.75" customHeight="1">
      <c r="DC3653" s="19"/>
      <c r="DL3653" s="13"/>
    </row>
    <row r="3654" spans="107:116" ht="12.75" customHeight="1">
      <c r="DC3654" s="19"/>
      <c r="DL3654" s="13"/>
    </row>
    <row r="3655" spans="107:116" ht="12.75" customHeight="1">
      <c r="DC3655" s="19"/>
      <c r="DL3655" s="13"/>
    </row>
    <row r="3656" spans="107:116" ht="12.75" customHeight="1">
      <c r="DC3656" s="19"/>
      <c r="DL3656" s="13"/>
    </row>
    <row r="3657" spans="107:116" ht="12.75" customHeight="1">
      <c r="DC3657" s="19"/>
      <c r="DL3657" s="13"/>
    </row>
    <row r="3658" spans="107:116" ht="12.75" customHeight="1">
      <c r="DC3658" s="19"/>
      <c r="DL3658" s="13"/>
    </row>
    <row r="3659" spans="107:116" ht="12.75" customHeight="1">
      <c r="DC3659" s="19"/>
      <c r="DL3659" s="13"/>
    </row>
    <row r="3660" spans="107:116" ht="12.75" customHeight="1">
      <c r="DC3660" s="19"/>
      <c r="DL3660" s="13"/>
    </row>
    <row r="3661" spans="107:116" ht="12.75" customHeight="1">
      <c r="DC3661" s="19"/>
      <c r="DL3661" s="13"/>
    </row>
    <row r="3662" spans="107:116" ht="12.75" customHeight="1">
      <c r="DC3662" s="19"/>
      <c r="DL3662" s="13"/>
    </row>
    <row r="3663" spans="107:116" ht="12.75" customHeight="1">
      <c r="DC3663" s="19"/>
      <c r="DL3663" s="13"/>
    </row>
    <row r="3664" spans="107:116" ht="12.75" customHeight="1">
      <c r="DC3664" s="19"/>
      <c r="DL3664" s="13"/>
    </row>
    <row r="3665" spans="107:116" ht="12.75" customHeight="1">
      <c r="DC3665" s="19"/>
      <c r="DL3665" s="13"/>
    </row>
    <row r="3666" spans="107:116" ht="12.75" customHeight="1">
      <c r="DC3666" s="19"/>
      <c r="DL3666" s="13"/>
    </row>
    <row r="3667" spans="107:116" ht="12.75" customHeight="1">
      <c r="DC3667" s="19"/>
      <c r="DL3667" s="13"/>
    </row>
    <row r="3668" spans="107:116" ht="12.75" customHeight="1">
      <c r="DC3668" s="19"/>
      <c r="DL3668" s="13"/>
    </row>
    <row r="3669" spans="107:116" ht="12.75" customHeight="1">
      <c r="DC3669" s="19"/>
      <c r="DL3669" s="13"/>
    </row>
    <row r="3670" spans="107:116" ht="12.75" customHeight="1">
      <c r="DC3670" s="19"/>
      <c r="DL3670" s="13"/>
    </row>
    <row r="3671" spans="107:116" ht="12.75" customHeight="1">
      <c r="DC3671" s="19"/>
      <c r="DL3671" s="13"/>
    </row>
    <row r="3672" spans="107:116" ht="12.75" customHeight="1">
      <c r="DC3672" s="19"/>
      <c r="DL3672" s="13"/>
    </row>
    <row r="3673" spans="107:116" ht="12.75" customHeight="1">
      <c r="DC3673" s="19"/>
      <c r="DL3673" s="13"/>
    </row>
    <row r="3674" spans="107:116" ht="12.75" customHeight="1">
      <c r="DC3674" s="19"/>
      <c r="DL3674" s="13"/>
    </row>
    <row r="3675" spans="107:116" ht="12.75" customHeight="1">
      <c r="DC3675" s="19"/>
      <c r="DL3675" s="13"/>
    </row>
    <row r="3676" spans="107:116" ht="12.75" customHeight="1">
      <c r="DC3676" s="19"/>
      <c r="DL3676" s="13"/>
    </row>
    <row r="3677" spans="107:116" ht="12.75" customHeight="1">
      <c r="DC3677" s="19"/>
      <c r="DL3677" s="13"/>
    </row>
    <row r="3678" spans="107:116" ht="12.75" customHeight="1">
      <c r="DC3678" s="19"/>
      <c r="DL3678" s="13"/>
    </row>
    <row r="3679" spans="107:116" ht="12.75" customHeight="1">
      <c r="DC3679" s="19"/>
      <c r="DL3679" s="13"/>
    </row>
    <row r="3680" spans="107:116" ht="12.75" customHeight="1">
      <c r="DC3680" s="19"/>
      <c r="DL3680" s="13"/>
    </row>
    <row r="3681" spans="107:116" ht="12.75" customHeight="1">
      <c r="DC3681" s="19"/>
      <c r="DL3681" s="13"/>
    </row>
    <row r="3682" spans="107:116" ht="12.75" customHeight="1">
      <c r="DC3682" s="19"/>
      <c r="DL3682" s="13"/>
    </row>
    <row r="3683" spans="107:116" ht="12.75" customHeight="1">
      <c r="DC3683" s="19"/>
      <c r="DL3683" s="13"/>
    </row>
    <row r="3684" spans="107:116" ht="12.75" customHeight="1">
      <c r="DC3684" s="19"/>
      <c r="DL3684" s="13"/>
    </row>
    <row r="3685" spans="107:116" ht="12.75" customHeight="1">
      <c r="DC3685" s="19"/>
      <c r="DL3685" s="13"/>
    </row>
    <row r="3686" spans="107:116" ht="12.75" customHeight="1">
      <c r="DC3686" s="19"/>
      <c r="DL3686" s="13"/>
    </row>
    <row r="3687" spans="107:116" ht="12.75" customHeight="1">
      <c r="DC3687" s="19"/>
      <c r="DL3687" s="13"/>
    </row>
    <row r="3688" spans="107:116" ht="12.75" customHeight="1">
      <c r="DC3688" s="19"/>
      <c r="DL3688" s="13"/>
    </row>
    <row r="3689" spans="107:116" ht="12.75" customHeight="1">
      <c r="DC3689" s="19"/>
      <c r="DL3689" s="13"/>
    </row>
    <row r="3690" spans="107:116" ht="12.75" customHeight="1">
      <c r="DC3690" s="19"/>
      <c r="DL3690" s="13"/>
    </row>
    <row r="3691" spans="107:116" ht="12.75" customHeight="1">
      <c r="DC3691" s="19"/>
      <c r="DL3691" s="13"/>
    </row>
    <row r="3692" spans="107:116" ht="12.75" customHeight="1">
      <c r="DC3692" s="19"/>
      <c r="DL3692" s="13"/>
    </row>
    <row r="3693" spans="107:116" ht="12.75" customHeight="1">
      <c r="DC3693" s="19"/>
      <c r="DL3693" s="13"/>
    </row>
    <row r="3694" spans="107:116" ht="12.75" customHeight="1">
      <c r="DC3694" s="19"/>
      <c r="DL3694" s="13"/>
    </row>
    <row r="3695" spans="107:116" ht="12.75" customHeight="1">
      <c r="DC3695" s="19"/>
      <c r="DL3695" s="13"/>
    </row>
    <row r="3696" spans="107:116" ht="12.75" customHeight="1">
      <c r="DC3696" s="19"/>
      <c r="DL3696" s="13"/>
    </row>
    <row r="3697" spans="107:116" ht="12.75" customHeight="1">
      <c r="DC3697" s="19"/>
      <c r="DL3697" s="13"/>
    </row>
    <row r="3698" spans="107:116" ht="12.75" customHeight="1">
      <c r="DC3698" s="19"/>
      <c r="DL3698" s="13"/>
    </row>
    <row r="3699" spans="107:116" ht="12.75" customHeight="1">
      <c r="DC3699" s="19"/>
      <c r="DL3699" s="13"/>
    </row>
    <row r="3700" spans="107:116" ht="12.75" customHeight="1">
      <c r="DC3700" s="19"/>
      <c r="DL3700" s="13"/>
    </row>
    <row r="3701" spans="107:116" ht="12.75" customHeight="1">
      <c r="DC3701" s="19"/>
      <c r="DL3701" s="13"/>
    </row>
    <row r="3702" spans="107:116" ht="12.75" customHeight="1">
      <c r="DC3702" s="19"/>
      <c r="DL3702" s="13"/>
    </row>
    <row r="3703" spans="107:116" ht="12.75" customHeight="1">
      <c r="DC3703" s="19"/>
      <c r="DL3703" s="13"/>
    </row>
    <row r="3704" spans="107:116" ht="12.75" customHeight="1">
      <c r="DC3704" s="19"/>
      <c r="DL3704" s="13"/>
    </row>
    <row r="3705" spans="107:116" ht="12.75" customHeight="1">
      <c r="DC3705" s="19"/>
      <c r="DL3705" s="13"/>
    </row>
    <row r="3706" spans="107:116" ht="12.75" customHeight="1">
      <c r="DC3706" s="19"/>
      <c r="DL3706" s="13"/>
    </row>
    <row r="3707" spans="107:116" ht="12.75" customHeight="1">
      <c r="DC3707" s="19"/>
      <c r="DL3707" s="13"/>
    </row>
    <row r="3708" spans="107:116" ht="12.75" customHeight="1">
      <c r="DC3708" s="19"/>
      <c r="DL3708" s="13"/>
    </row>
    <row r="3709" spans="107:116" ht="12.75" customHeight="1">
      <c r="DC3709" s="19"/>
      <c r="DL3709" s="13"/>
    </row>
    <row r="3710" spans="107:116" ht="12.75" customHeight="1">
      <c r="DC3710" s="19"/>
      <c r="DL3710" s="13"/>
    </row>
    <row r="3711" spans="107:116" ht="12.75" customHeight="1">
      <c r="DC3711" s="19"/>
      <c r="DL3711" s="13"/>
    </row>
    <row r="3712" spans="107:116" ht="12.75" customHeight="1">
      <c r="DC3712" s="19"/>
      <c r="DL3712" s="13"/>
    </row>
    <row r="3713" spans="107:116" ht="12.75" customHeight="1">
      <c r="DC3713" s="19"/>
      <c r="DL3713" s="13"/>
    </row>
    <row r="3714" spans="107:116" ht="12.75" customHeight="1">
      <c r="DC3714" s="19"/>
      <c r="DL3714" s="13"/>
    </row>
    <row r="3715" spans="107:116" ht="12.75" customHeight="1">
      <c r="DC3715" s="19"/>
      <c r="DL3715" s="13"/>
    </row>
    <row r="3716" spans="107:116" ht="12.75" customHeight="1">
      <c r="DC3716" s="19"/>
      <c r="DL3716" s="13"/>
    </row>
    <row r="3717" spans="107:116" ht="12.75" customHeight="1">
      <c r="DC3717" s="19"/>
      <c r="DL3717" s="13"/>
    </row>
    <row r="3718" spans="107:116" ht="12.75" customHeight="1">
      <c r="DC3718" s="19"/>
      <c r="DL3718" s="13"/>
    </row>
    <row r="3719" spans="107:116" ht="12.75" customHeight="1">
      <c r="DC3719" s="19"/>
      <c r="DL3719" s="13"/>
    </row>
    <row r="3720" spans="107:116" ht="12.75" customHeight="1">
      <c r="DC3720" s="19"/>
      <c r="DL3720" s="13"/>
    </row>
    <row r="3721" spans="107:116" ht="12.75" customHeight="1">
      <c r="DC3721" s="19"/>
      <c r="DL3721" s="13"/>
    </row>
    <row r="3722" spans="107:116" ht="12.75" customHeight="1">
      <c r="DC3722" s="19"/>
      <c r="DL3722" s="13"/>
    </row>
    <row r="3723" spans="107:116" ht="12.75" customHeight="1">
      <c r="DC3723" s="19"/>
      <c r="DL3723" s="13"/>
    </row>
    <row r="3724" spans="107:116" ht="12.75" customHeight="1">
      <c r="DC3724" s="19"/>
      <c r="DL3724" s="13"/>
    </row>
    <row r="3725" spans="107:116" ht="12.75" customHeight="1">
      <c r="DC3725" s="19"/>
      <c r="DL3725" s="13"/>
    </row>
    <row r="3726" spans="107:116" ht="12.75" customHeight="1">
      <c r="DC3726" s="19"/>
      <c r="DL3726" s="13"/>
    </row>
    <row r="3727" spans="107:116" ht="12.75" customHeight="1">
      <c r="DC3727" s="19"/>
      <c r="DL3727" s="13"/>
    </row>
    <row r="3728" spans="107:116" ht="12.75" customHeight="1">
      <c r="DC3728" s="19"/>
      <c r="DL3728" s="13"/>
    </row>
    <row r="3729" spans="107:116" ht="12.75" customHeight="1">
      <c r="DC3729" s="19"/>
      <c r="DL3729" s="13"/>
    </row>
    <row r="3730" spans="107:116" ht="12.75" customHeight="1">
      <c r="DC3730" s="19"/>
      <c r="DL3730" s="13"/>
    </row>
    <row r="3731" spans="107:116" ht="12.75" customHeight="1">
      <c r="DC3731" s="19"/>
      <c r="DL3731" s="13"/>
    </row>
    <row r="3732" spans="107:116" ht="12.75" customHeight="1">
      <c r="DC3732" s="19"/>
      <c r="DL3732" s="13"/>
    </row>
    <row r="3733" spans="107:116" ht="12.75" customHeight="1">
      <c r="DC3733" s="19"/>
      <c r="DL3733" s="13"/>
    </row>
    <row r="3734" spans="107:116" ht="12.75" customHeight="1">
      <c r="DC3734" s="19"/>
      <c r="DL3734" s="13"/>
    </row>
    <row r="3735" spans="107:116" ht="12.75" customHeight="1">
      <c r="DC3735" s="19"/>
      <c r="DL3735" s="13"/>
    </row>
    <row r="3736" spans="107:116" ht="12.75" customHeight="1">
      <c r="DC3736" s="19"/>
      <c r="DL3736" s="13"/>
    </row>
    <row r="3737" spans="107:116" ht="12.75" customHeight="1">
      <c r="DC3737" s="19"/>
      <c r="DL3737" s="13"/>
    </row>
    <row r="3738" spans="107:116" ht="12.75" customHeight="1">
      <c r="DC3738" s="19"/>
      <c r="DL3738" s="13"/>
    </row>
    <row r="3739" spans="107:116" ht="12.75" customHeight="1">
      <c r="DL3739" s="13"/>
    </row>
    <row r="3740" spans="107:116" ht="12.75" customHeight="1">
      <c r="DC3740" s="19"/>
      <c r="DL3740" s="13"/>
    </row>
    <row r="3741" spans="107:116" ht="12.75" customHeight="1">
      <c r="DC3741" s="19"/>
      <c r="DL3741" s="13"/>
    </row>
    <row r="3742" spans="107:116" ht="12.75" customHeight="1">
      <c r="DC3742" s="19"/>
      <c r="DL3742" s="13"/>
    </row>
    <row r="3743" spans="107:116" ht="12.75" customHeight="1">
      <c r="DC3743" s="19"/>
      <c r="DL3743" s="13"/>
    </row>
    <row r="3744" spans="107:116" ht="12.75" customHeight="1">
      <c r="DC3744" s="19"/>
      <c r="DL3744" s="13"/>
    </row>
    <row r="3745" spans="107:116" ht="12.75" customHeight="1">
      <c r="DC3745" s="19"/>
      <c r="DL3745" s="13"/>
    </row>
    <row r="3746" spans="107:116" ht="12.75" customHeight="1">
      <c r="DC3746" s="19"/>
      <c r="DL3746" s="13"/>
    </row>
    <row r="3747" spans="107:116" ht="12.75" customHeight="1">
      <c r="DC3747" s="19"/>
      <c r="DL3747" s="13"/>
    </row>
    <row r="3748" spans="107:116" ht="12.75" customHeight="1">
      <c r="DC3748" s="19"/>
      <c r="DL3748" s="13"/>
    </row>
    <row r="3749" spans="107:116" ht="12.75" customHeight="1">
      <c r="DC3749" s="19"/>
      <c r="DL3749" s="13"/>
    </row>
    <row r="3750" spans="107:116" ht="12.75" customHeight="1">
      <c r="DC3750" s="19"/>
      <c r="DL3750" s="13"/>
    </row>
    <row r="3751" spans="107:116" ht="12.75" customHeight="1">
      <c r="DC3751" s="19"/>
      <c r="DL3751" s="13"/>
    </row>
    <row r="3752" spans="107:116" ht="12.75" customHeight="1">
      <c r="DC3752" s="19"/>
      <c r="DL3752" s="13"/>
    </row>
    <row r="3753" spans="107:116" ht="12.75" customHeight="1">
      <c r="DC3753" s="19"/>
      <c r="DL3753" s="13"/>
    </row>
    <row r="3754" spans="107:116" ht="12.75" customHeight="1">
      <c r="DC3754" s="19"/>
      <c r="DL3754" s="13"/>
    </row>
    <row r="3755" spans="107:116" ht="12.75" customHeight="1">
      <c r="DC3755" s="19"/>
      <c r="DL3755" s="13"/>
    </row>
    <row r="3756" spans="107:116" ht="12.75" customHeight="1">
      <c r="DC3756" s="19"/>
      <c r="DL3756" s="13"/>
    </row>
    <row r="3757" spans="107:116" ht="12.75" customHeight="1">
      <c r="DC3757" s="19"/>
      <c r="DL3757" s="13"/>
    </row>
    <row r="3758" spans="107:116" ht="12.75" customHeight="1">
      <c r="DC3758" s="19"/>
      <c r="DL3758" s="13"/>
    </row>
    <row r="3759" spans="107:116" ht="12.75" customHeight="1">
      <c r="DC3759" s="19"/>
      <c r="DL3759" s="13"/>
    </row>
    <row r="3760" spans="107:116" ht="12.75" customHeight="1">
      <c r="DC3760" s="19"/>
      <c r="DL3760" s="13"/>
    </row>
    <row r="3761" spans="107:116" ht="12.75" customHeight="1">
      <c r="DC3761" s="19"/>
      <c r="DL3761" s="13"/>
    </row>
    <row r="3762" spans="107:116" ht="12.75" customHeight="1">
      <c r="DC3762" s="19"/>
      <c r="DL3762" s="13"/>
    </row>
    <row r="3763" spans="107:116" ht="12.75" customHeight="1">
      <c r="DC3763" s="19"/>
      <c r="DL3763" s="13"/>
    </row>
    <row r="3764" spans="107:116" ht="12.75" customHeight="1">
      <c r="DC3764" s="19"/>
      <c r="DL3764" s="13"/>
    </row>
    <row r="3765" spans="107:116" ht="12.75" customHeight="1">
      <c r="DC3765" s="19"/>
      <c r="DL3765" s="13"/>
    </row>
    <row r="3766" spans="107:116" ht="12.75" customHeight="1">
      <c r="DC3766" s="19"/>
      <c r="DL3766" s="13"/>
    </row>
    <row r="3767" spans="107:116" ht="12.75" customHeight="1">
      <c r="DC3767" s="19"/>
      <c r="DL3767" s="13"/>
    </row>
    <row r="3768" spans="107:116" ht="12.75" customHeight="1">
      <c r="DC3768" s="19"/>
      <c r="DL3768" s="13"/>
    </row>
    <row r="3769" spans="107:116" ht="12.75" customHeight="1">
      <c r="DC3769" s="19"/>
      <c r="DL3769" s="13"/>
    </row>
    <row r="3770" spans="107:116" ht="12.75" customHeight="1">
      <c r="DC3770" s="19"/>
      <c r="DL3770" s="13"/>
    </row>
    <row r="3771" spans="107:116" ht="12.75" customHeight="1">
      <c r="DC3771" s="19"/>
      <c r="DL3771" s="13"/>
    </row>
    <row r="3772" spans="107:116" ht="12.75" customHeight="1">
      <c r="DC3772" s="19"/>
      <c r="DL3772" s="13"/>
    </row>
    <row r="3773" spans="107:116" ht="12.75" customHeight="1">
      <c r="DC3773" s="19"/>
      <c r="DL3773" s="13"/>
    </row>
    <row r="3774" spans="107:116" ht="12.75" customHeight="1">
      <c r="DC3774" s="19"/>
      <c r="DL3774" s="13"/>
    </row>
    <row r="3775" spans="107:116" ht="12.75" customHeight="1">
      <c r="DC3775" s="19"/>
      <c r="DL3775" s="13"/>
    </row>
    <row r="3776" spans="107:116" ht="12.75" customHeight="1">
      <c r="DC3776" s="19"/>
      <c r="DL3776" s="13"/>
    </row>
    <row r="3777" spans="107:116" ht="12.75" customHeight="1">
      <c r="DC3777" s="19"/>
      <c r="DL3777" s="13"/>
    </row>
    <row r="3778" spans="107:116" ht="12.75" customHeight="1">
      <c r="DC3778" s="19"/>
      <c r="DL3778" s="13"/>
    </row>
    <row r="3779" spans="107:116" ht="12.75" customHeight="1">
      <c r="DC3779" s="19"/>
      <c r="DL3779" s="13"/>
    </row>
    <row r="3780" spans="107:116" ht="12.75" customHeight="1">
      <c r="DC3780" s="19"/>
      <c r="DL3780" s="13"/>
    </row>
    <row r="3781" spans="107:116" ht="12.75" customHeight="1">
      <c r="DC3781" s="19"/>
      <c r="DL3781" s="13"/>
    </row>
    <row r="3782" spans="107:116" ht="12.75" customHeight="1">
      <c r="DC3782" s="19"/>
      <c r="DL3782" s="13"/>
    </row>
    <row r="3783" spans="107:116" ht="12.75" customHeight="1">
      <c r="DC3783" s="19"/>
      <c r="DL3783" s="13"/>
    </row>
    <row r="3784" spans="107:116" ht="12.75" customHeight="1">
      <c r="DC3784" s="19"/>
      <c r="DL3784" s="13"/>
    </row>
    <row r="3785" spans="107:116" ht="12.75" customHeight="1">
      <c r="DC3785" s="19"/>
      <c r="DL3785" s="13"/>
    </row>
    <row r="3786" spans="107:116" ht="12.75" customHeight="1">
      <c r="DC3786" s="19"/>
      <c r="DL3786" s="13"/>
    </row>
    <row r="3787" spans="107:116" ht="12.75" customHeight="1">
      <c r="DC3787" s="19"/>
      <c r="DL3787" s="13"/>
    </row>
    <row r="3788" spans="107:116" ht="12.75" customHeight="1">
      <c r="DC3788" s="19"/>
      <c r="DL3788" s="13"/>
    </row>
    <row r="3789" spans="107:116" ht="12.75" customHeight="1">
      <c r="DC3789" s="19"/>
      <c r="DL3789" s="13"/>
    </row>
    <row r="3790" spans="107:116" ht="12.75" customHeight="1">
      <c r="DC3790" s="19"/>
      <c r="DL3790" s="13"/>
    </row>
    <row r="3791" spans="107:116" ht="12.75" customHeight="1">
      <c r="DC3791" s="19"/>
      <c r="DL3791" s="13"/>
    </row>
    <row r="3792" spans="107:116" ht="12.75" customHeight="1">
      <c r="DC3792" s="19"/>
      <c r="DL3792" s="13"/>
    </row>
    <row r="3793" spans="107:116" ht="12.75" customHeight="1">
      <c r="DC3793" s="19"/>
      <c r="DL3793" s="13"/>
    </row>
    <row r="3794" spans="107:116" ht="12.75" customHeight="1">
      <c r="DC3794" s="19"/>
      <c r="DL3794" s="13"/>
    </row>
    <row r="3795" spans="107:116" ht="12.75" customHeight="1">
      <c r="DC3795" s="19"/>
      <c r="DL3795" s="13"/>
    </row>
    <row r="3796" spans="107:116" ht="12.75" customHeight="1">
      <c r="DC3796" s="19"/>
      <c r="DL3796" s="13"/>
    </row>
    <row r="3797" spans="107:116" ht="12.75" customHeight="1">
      <c r="DC3797" s="19"/>
      <c r="DL3797" s="13"/>
    </row>
    <row r="3798" spans="107:116" ht="12.75" customHeight="1">
      <c r="DC3798" s="19"/>
      <c r="DL3798" s="13"/>
    </row>
    <row r="3799" spans="107:116" ht="12.75" customHeight="1">
      <c r="DC3799" s="19"/>
      <c r="DL3799" s="13"/>
    </row>
    <row r="3800" spans="107:116" ht="12.75" customHeight="1">
      <c r="DC3800" s="19"/>
      <c r="DL3800" s="13"/>
    </row>
    <row r="3801" spans="107:116" ht="12.75" customHeight="1">
      <c r="DC3801" s="19"/>
      <c r="DL3801" s="13"/>
    </row>
    <row r="3802" spans="107:116" ht="12.75" customHeight="1">
      <c r="DC3802" s="19"/>
      <c r="DL3802" s="13"/>
    </row>
    <row r="3803" spans="107:116" ht="12.75" customHeight="1">
      <c r="DC3803" s="19"/>
      <c r="DL3803" s="13"/>
    </row>
    <row r="3804" spans="107:116" ht="12.75" customHeight="1">
      <c r="DC3804" s="19"/>
      <c r="DL3804" s="13"/>
    </row>
    <row r="3805" spans="107:116" ht="12.75" customHeight="1">
      <c r="DC3805" s="19"/>
      <c r="DL3805" s="13"/>
    </row>
    <row r="3806" spans="107:116" ht="12.75" customHeight="1">
      <c r="DC3806" s="19"/>
      <c r="DL3806" s="13"/>
    </row>
    <row r="3807" spans="107:116" ht="12.75" customHeight="1">
      <c r="DC3807" s="19"/>
      <c r="DL3807" s="13"/>
    </row>
    <row r="3808" spans="107:116" ht="12.75" customHeight="1">
      <c r="DC3808" s="19"/>
      <c r="DL3808" s="13"/>
    </row>
    <row r="3809" spans="107:116" ht="12.75" customHeight="1">
      <c r="DC3809" s="19"/>
      <c r="DL3809" s="13"/>
    </row>
    <row r="3810" spans="107:116" ht="12.75" customHeight="1">
      <c r="DC3810" s="19"/>
      <c r="DL3810" s="13"/>
    </row>
    <row r="3811" spans="107:116" ht="12.75" customHeight="1">
      <c r="DC3811" s="19"/>
      <c r="DL3811" s="13"/>
    </row>
    <row r="3812" spans="107:116" ht="12.75" customHeight="1">
      <c r="DC3812" s="19"/>
      <c r="DL3812" s="13"/>
    </row>
    <row r="3813" spans="107:116" ht="12.75" customHeight="1">
      <c r="DC3813" s="19"/>
      <c r="DL3813" s="13"/>
    </row>
    <row r="3814" spans="107:116" ht="12.75" customHeight="1">
      <c r="DC3814" s="19"/>
      <c r="DL3814" s="13"/>
    </row>
    <row r="3815" spans="107:116" ht="12.75" customHeight="1">
      <c r="DC3815" s="19"/>
      <c r="DL3815" s="13"/>
    </row>
    <row r="3816" spans="107:116" ht="12.75" customHeight="1">
      <c r="DC3816" s="19"/>
      <c r="DL3816" s="13"/>
    </row>
    <row r="3817" spans="107:116" ht="12.75" customHeight="1">
      <c r="DC3817" s="19"/>
      <c r="DL3817" s="13"/>
    </row>
    <row r="3818" spans="107:116" ht="12.75" customHeight="1">
      <c r="DC3818" s="19"/>
      <c r="DL3818" s="13"/>
    </row>
    <row r="3819" spans="107:116" ht="12.75" customHeight="1">
      <c r="DC3819" s="19"/>
      <c r="DL3819" s="13"/>
    </row>
    <row r="3820" spans="107:116" ht="12.75" customHeight="1">
      <c r="DC3820" s="19"/>
      <c r="DL3820" s="13"/>
    </row>
    <row r="3821" spans="107:116" ht="12.75" customHeight="1">
      <c r="DC3821" s="19"/>
      <c r="DL3821" s="13"/>
    </row>
    <row r="3822" spans="107:116" ht="12.75" customHeight="1">
      <c r="DC3822" s="19"/>
      <c r="DL3822" s="13"/>
    </row>
    <row r="3823" spans="107:116" ht="12.75" customHeight="1">
      <c r="DC3823" s="19"/>
      <c r="DL3823" s="13"/>
    </row>
    <row r="3824" spans="107:116" ht="12.75" customHeight="1">
      <c r="DC3824" s="19"/>
      <c r="DL3824" s="13"/>
    </row>
    <row r="3825" spans="107:116" ht="12.75" customHeight="1">
      <c r="DC3825" s="19"/>
      <c r="DL3825" s="13"/>
    </row>
    <row r="3826" spans="107:116" ht="12.75" customHeight="1">
      <c r="DC3826" s="19"/>
      <c r="DL3826" s="13"/>
    </row>
    <row r="3827" spans="107:116" ht="12.75" customHeight="1">
      <c r="DC3827" s="19"/>
      <c r="DL3827" s="13"/>
    </row>
    <row r="3828" spans="107:116" ht="12.75" customHeight="1">
      <c r="DC3828" s="19"/>
      <c r="DL3828" s="13"/>
    </row>
    <row r="3829" spans="107:116" ht="12.75" customHeight="1">
      <c r="DC3829" s="19"/>
      <c r="DL3829" s="13"/>
    </row>
    <row r="3830" spans="107:116" ht="12.75" customHeight="1">
      <c r="DC3830" s="19"/>
      <c r="DL3830" s="13"/>
    </row>
    <row r="3831" spans="107:116" ht="12.75" customHeight="1">
      <c r="DC3831" s="19"/>
      <c r="DL3831" s="13"/>
    </row>
    <row r="3832" spans="107:116" ht="12.75" customHeight="1">
      <c r="DC3832" s="19"/>
      <c r="DL3832" s="13"/>
    </row>
    <row r="3833" spans="107:116" ht="12.75" customHeight="1">
      <c r="DC3833" s="19"/>
      <c r="DL3833" s="13"/>
    </row>
    <row r="3834" spans="107:116" ht="12.75" customHeight="1">
      <c r="DC3834" s="19"/>
      <c r="DL3834" s="13"/>
    </row>
    <row r="3835" spans="107:116" ht="12.75" customHeight="1">
      <c r="DC3835" s="19"/>
      <c r="DL3835" s="13"/>
    </row>
    <row r="3836" spans="107:116" ht="12.75" customHeight="1">
      <c r="DC3836" s="19"/>
      <c r="DL3836" s="13"/>
    </row>
    <row r="3837" spans="107:116" ht="12.75" customHeight="1">
      <c r="DC3837" s="19"/>
      <c r="DL3837" s="13"/>
    </row>
    <row r="3838" spans="107:116" ht="12.75" customHeight="1">
      <c r="DC3838" s="19"/>
      <c r="DL3838" s="13"/>
    </row>
    <row r="3839" spans="107:116" ht="12.75" customHeight="1">
      <c r="DC3839" s="19"/>
      <c r="DL3839" s="13"/>
    </row>
    <row r="3840" spans="107:116" ht="12.75" customHeight="1">
      <c r="DC3840" s="19"/>
      <c r="DL3840" s="13"/>
    </row>
    <row r="3841" spans="107:116" ht="12.75" customHeight="1">
      <c r="DC3841" s="19"/>
      <c r="DL3841" s="13"/>
    </row>
    <row r="3842" spans="107:116" ht="12.75" customHeight="1">
      <c r="DC3842" s="19"/>
      <c r="DL3842" s="13"/>
    </row>
    <row r="3843" spans="107:116" ht="12.75" customHeight="1">
      <c r="DC3843" s="19"/>
      <c r="DL3843" s="13"/>
    </row>
    <row r="3844" spans="107:116" ht="12.75" customHeight="1">
      <c r="DC3844" s="19"/>
      <c r="DL3844" s="13"/>
    </row>
    <row r="3845" spans="107:116" ht="12.75" customHeight="1">
      <c r="DC3845" s="19"/>
      <c r="DL3845" s="13"/>
    </row>
    <row r="3846" spans="107:116" ht="12.75" customHeight="1">
      <c r="DC3846" s="19"/>
      <c r="DL3846" s="13"/>
    </row>
    <row r="3847" spans="107:116" ht="12.75" customHeight="1">
      <c r="DC3847" s="19"/>
      <c r="DL3847" s="13"/>
    </row>
    <row r="3848" spans="107:116" ht="12.75" customHeight="1">
      <c r="DC3848" s="19"/>
      <c r="DL3848" s="13"/>
    </row>
    <row r="3849" spans="107:116" ht="12.75" customHeight="1">
      <c r="DC3849" s="19"/>
      <c r="DL3849" s="13"/>
    </row>
    <row r="3850" spans="107:116" ht="12.75" customHeight="1">
      <c r="DC3850" s="19"/>
      <c r="DL3850" s="13"/>
    </row>
    <row r="3851" spans="107:116" ht="12.75" customHeight="1">
      <c r="DC3851" s="19"/>
      <c r="DL3851" s="13"/>
    </row>
    <row r="3852" spans="107:116" ht="12.75" customHeight="1">
      <c r="DC3852" s="19"/>
      <c r="DL3852" s="13"/>
    </row>
    <row r="3853" spans="107:116" ht="12.75" customHeight="1">
      <c r="DC3853" s="19"/>
      <c r="DL3853" s="13"/>
    </row>
    <row r="3854" spans="107:116" ht="12.75" customHeight="1">
      <c r="DC3854" s="19"/>
      <c r="DL3854" s="13"/>
    </row>
    <row r="3855" spans="107:116" ht="12.75" customHeight="1">
      <c r="DC3855" s="19"/>
      <c r="DL3855" s="13"/>
    </row>
    <row r="3856" spans="107:116" ht="12.75" customHeight="1">
      <c r="DC3856" s="19"/>
      <c r="DL3856" s="13"/>
    </row>
    <row r="3857" spans="107:116" ht="12.75" customHeight="1">
      <c r="DC3857" s="19"/>
      <c r="DL3857" s="13"/>
    </row>
    <row r="3858" spans="107:116" ht="12.75" customHeight="1">
      <c r="DC3858" s="19"/>
      <c r="DL3858" s="13"/>
    </row>
    <row r="3859" spans="107:116" ht="12.75" customHeight="1">
      <c r="DC3859" s="19"/>
      <c r="DL3859" s="13"/>
    </row>
    <row r="3860" spans="107:116" ht="12.75" customHeight="1">
      <c r="DC3860" s="19"/>
      <c r="DL3860" s="13"/>
    </row>
    <row r="3861" spans="107:116" ht="12.75" customHeight="1">
      <c r="DC3861" s="19"/>
      <c r="DL3861" s="13"/>
    </row>
    <row r="3862" spans="107:116" ht="12.75" customHeight="1">
      <c r="DC3862" s="19"/>
      <c r="DL3862" s="13"/>
    </row>
    <row r="3863" spans="107:116" ht="12.75" customHeight="1">
      <c r="DC3863" s="19"/>
      <c r="DL3863" s="13"/>
    </row>
    <row r="3864" spans="107:116" ht="12.75" customHeight="1">
      <c r="DC3864" s="19"/>
      <c r="DL3864" s="13"/>
    </row>
    <row r="3865" spans="107:116" ht="12.75" customHeight="1">
      <c r="DC3865" s="19"/>
      <c r="DL3865" s="13"/>
    </row>
    <row r="3866" spans="107:116" ht="12.75" customHeight="1">
      <c r="DC3866" s="19"/>
      <c r="DL3866" s="13"/>
    </row>
    <row r="3867" spans="107:116" ht="12.75" customHeight="1">
      <c r="DC3867" s="19"/>
      <c r="DL3867" s="13"/>
    </row>
    <row r="3868" spans="107:116" ht="12.75" customHeight="1">
      <c r="DC3868" s="19"/>
      <c r="DL3868" s="13"/>
    </row>
    <row r="3869" spans="107:116" ht="12.75" customHeight="1">
      <c r="DC3869" s="19"/>
      <c r="DL3869" s="13"/>
    </row>
    <row r="3870" spans="107:116" ht="12.75" customHeight="1">
      <c r="DC3870" s="19"/>
      <c r="DL3870" s="13"/>
    </row>
    <row r="3871" spans="107:116" ht="12.75" customHeight="1">
      <c r="DC3871" s="19"/>
      <c r="DL3871" s="13"/>
    </row>
    <row r="3872" spans="107:116" ht="12.75" customHeight="1">
      <c r="DC3872" s="19"/>
      <c r="DL3872" s="13"/>
    </row>
    <row r="3873" spans="107:116" ht="12.75" customHeight="1">
      <c r="DC3873" s="19"/>
      <c r="DL3873" s="13"/>
    </row>
    <row r="3874" spans="107:116" ht="12.75" customHeight="1">
      <c r="DC3874" s="19"/>
      <c r="DL3874" s="13"/>
    </row>
    <row r="3875" spans="107:116" ht="12.75" customHeight="1">
      <c r="DC3875" s="19"/>
      <c r="DL3875" s="13"/>
    </row>
    <row r="3876" spans="107:116" ht="12.75" customHeight="1">
      <c r="DC3876" s="19"/>
      <c r="DL3876" s="13"/>
    </row>
    <row r="3877" spans="107:116" ht="12.75" customHeight="1">
      <c r="DC3877" s="19"/>
      <c r="DL3877" s="13"/>
    </row>
    <row r="3878" spans="107:116" ht="12.75" customHeight="1">
      <c r="DC3878" s="19"/>
      <c r="DL3878" s="13"/>
    </row>
    <row r="3879" spans="107:116" ht="12.75" customHeight="1">
      <c r="DC3879" s="19"/>
      <c r="DL3879" s="13"/>
    </row>
    <row r="3880" spans="107:116" ht="12.75" customHeight="1">
      <c r="DC3880" s="19"/>
      <c r="DL3880" s="13"/>
    </row>
    <row r="3881" spans="107:116" ht="12.75" customHeight="1">
      <c r="DC3881" s="19"/>
      <c r="DL3881" s="13"/>
    </row>
    <row r="3882" spans="107:116" ht="12.75" customHeight="1">
      <c r="DC3882" s="19"/>
      <c r="DL3882" s="13"/>
    </row>
    <row r="3883" spans="107:116" ht="12.75" customHeight="1">
      <c r="DC3883" s="19"/>
      <c r="DL3883" s="13"/>
    </row>
    <row r="3884" spans="107:116" ht="12.75" customHeight="1">
      <c r="DC3884" s="19"/>
      <c r="DL3884" s="13"/>
    </row>
    <row r="3885" spans="107:116" ht="12.75" customHeight="1">
      <c r="DC3885" s="19"/>
      <c r="DL3885" s="13"/>
    </row>
    <row r="3886" spans="107:116" ht="12.75" customHeight="1">
      <c r="DC3886" s="19"/>
      <c r="DL3886" s="13"/>
    </row>
    <row r="3887" spans="107:116" ht="12.75" customHeight="1">
      <c r="DC3887" s="19"/>
      <c r="DL3887" s="13"/>
    </row>
    <row r="3888" spans="107:116" ht="12.75" customHeight="1">
      <c r="DC3888" s="19"/>
      <c r="DL3888" s="13"/>
    </row>
    <row r="3889" spans="107:116" ht="12.75" customHeight="1">
      <c r="DC3889" s="19"/>
      <c r="DL3889" s="13"/>
    </row>
    <row r="3890" spans="107:116" ht="12.75" customHeight="1">
      <c r="DC3890" s="19"/>
      <c r="DL3890" s="13"/>
    </row>
    <row r="3891" spans="107:116" ht="12.75" customHeight="1">
      <c r="DC3891" s="19"/>
      <c r="DL3891" s="13"/>
    </row>
    <row r="3892" spans="107:116" ht="12.75" customHeight="1">
      <c r="DC3892" s="19"/>
      <c r="DL3892" s="13"/>
    </row>
    <row r="3893" spans="107:116" ht="12.75" customHeight="1">
      <c r="DC3893" s="19"/>
      <c r="DL3893" s="13"/>
    </row>
    <row r="3894" spans="107:116" ht="12.75" customHeight="1">
      <c r="DC3894" s="19"/>
      <c r="DL3894" s="13"/>
    </row>
    <row r="3895" spans="107:116" ht="12.75" customHeight="1">
      <c r="DC3895" s="19"/>
      <c r="DL3895" s="13"/>
    </row>
    <row r="3896" spans="107:116" ht="12.75" customHeight="1">
      <c r="DC3896" s="19"/>
      <c r="DL3896" s="13"/>
    </row>
    <row r="3897" spans="107:116" ht="12.75" customHeight="1">
      <c r="DC3897" s="19"/>
      <c r="DL3897" s="13"/>
    </row>
    <row r="3898" spans="107:116" ht="12.75" customHeight="1">
      <c r="DC3898" s="19"/>
      <c r="DL3898" s="13"/>
    </row>
    <row r="3899" spans="107:116" ht="12.75" customHeight="1">
      <c r="DC3899" s="19"/>
      <c r="DL3899" s="13"/>
    </row>
    <row r="3900" spans="107:116" ht="12.75" customHeight="1">
      <c r="DC3900" s="19"/>
      <c r="DL3900" s="13"/>
    </row>
    <row r="3901" spans="107:116" ht="12.75" customHeight="1">
      <c r="DC3901" s="19"/>
      <c r="DL3901" s="13"/>
    </row>
    <row r="3902" spans="107:116" ht="12.75" customHeight="1">
      <c r="DC3902" s="19"/>
      <c r="DL3902" s="13"/>
    </row>
    <row r="3903" spans="107:116" ht="12.75" customHeight="1">
      <c r="DC3903" s="19"/>
      <c r="DL3903" s="13"/>
    </row>
    <row r="3904" spans="107:116" ht="12.75" customHeight="1">
      <c r="DC3904" s="19"/>
      <c r="DL3904" s="13"/>
    </row>
    <row r="3905" spans="107:116" ht="12.75" customHeight="1">
      <c r="DC3905" s="19"/>
      <c r="DL3905" s="13"/>
    </row>
    <row r="3906" spans="107:116" ht="12.75" customHeight="1">
      <c r="DC3906" s="19"/>
      <c r="DL3906" s="13"/>
    </row>
    <row r="3907" spans="107:116" ht="12.75" customHeight="1">
      <c r="DC3907" s="19"/>
      <c r="DL3907" s="13"/>
    </row>
    <row r="3908" spans="107:116" ht="12.75" customHeight="1">
      <c r="DC3908" s="19"/>
      <c r="DL3908" s="13"/>
    </row>
    <row r="3909" spans="107:116" ht="12.75" customHeight="1">
      <c r="DC3909" s="19"/>
      <c r="DL3909" s="13"/>
    </row>
    <row r="3910" spans="107:116" ht="12.75" customHeight="1">
      <c r="DC3910" s="19"/>
      <c r="DL3910" s="13"/>
    </row>
    <row r="3911" spans="107:116" ht="12.75" customHeight="1">
      <c r="DC3911" s="19"/>
      <c r="DL3911" s="13"/>
    </row>
    <row r="3912" spans="107:116" ht="12.75" customHeight="1">
      <c r="DC3912" s="19"/>
      <c r="DL3912" s="13"/>
    </row>
    <row r="3913" spans="107:116" ht="12.75" customHeight="1">
      <c r="DC3913" s="19"/>
      <c r="DL3913" s="13"/>
    </row>
    <row r="3914" spans="107:116" ht="12.75" customHeight="1">
      <c r="DC3914" s="19"/>
      <c r="DL3914" s="13"/>
    </row>
    <row r="3915" spans="107:116" ht="12.75" customHeight="1">
      <c r="DC3915" s="19"/>
      <c r="DL3915" s="13"/>
    </row>
    <row r="3916" spans="107:116" ht="12.75" customHeight="1">
      <c r="DC3916" s="19"/>
      <c r="DL3916" s="13"/>
    </row>
    <row r="3917" spans="107:116" ht="12.75" customHeight="1">
      <c r="DC3917" s="19"/>
      <c r="DL3917" s="13"/>
    </row>
    <row r="3918" spans="107:116" ht="12.75" customHeight="1">
      <c r="DC3918" s="19"/>
      <c r="DL3918" s="13"/>
    </row>
    <row r="3919" spans="107:116" ht="12.75" customHeight="1">
      <c r="DC3919" s="19"/>
      <c r="DL3919" s="13"/>
    </row>
    <row r="3920" spans="107:116" ht="12.75" customHeight="1">
      <c r="DC3920" s="19"/>
      <c r="DL3920" s="13"/>
    </row>
    <row r="3921" spans="107:116" ht="12.75" customHeight="1">
      <c r="DC3921" s="19"/>
      <c r="DL3921" s="13"/>
    </row>
    <row r="3922" spans="107:116" ht="12.75" customHeight="1">
      <c r="DC3922" s="19"/>
      <c r="DL3922" s="13"/>
    </row>
    <row r="3923" spans="107:116" ht="12.75" customHeight="1">
      <c r="DC3923" s="19"/>
      <c r="DL3923" s="13"/>
    </row>
    <row r="3924" spans="107:116" ht="12.75" customHeight="1">
      <c r="DC3924" s="19"/>
      <c r="DL3924" s="13"/>
    </row>
    <row r="3925" spans="107:116" ht="12.75" customHeight="1">
      <c r="DC3925" s="19"/>
      <c r="DL3925" s="13"/>
    </row>
    <row r="3926" spans="107:116" ht="12.75" customHeight="1">
      <c r="DC3926" s="19"/>
      <c r="DL3926" s="13"/>
    </row>
    <row r="3927" spans="107:116" ht="12.75" customHeight="1">
      <c r="DC3927" s="19"/>
      <c r="DL3927" s="13"/>
    </row>
    <row r="3928" spans="107:116" ht="12.75" customHeight="1">
      <c r="DC3928" s="19"/>
      <c r="DL3928" s="13"/>
    </row>
    <row r="3929" spans="107:116" ht="12.75" customHeight="1">
      <c r="DC3929" s="19"/>
      <c r="DL3929" s="13"/>
    </row>
    <row r="3930" spans="107:116" ht="12.75" customHeight="1">
      <c r="DC3930" s="19"/>
      <c r="DL3930" s="13"/>
    </row>
    <row r="3931" spans="107:116" ht="12.75" customHeight="1">
      <c r="DC3931" s="19"/>
      <c r="DL3931" s="13"/>
    </row>
    <row r="3932" spans="107:116" ht="12.75" customHeight="1">
      <c r="DC3932" s="19"/>
      <c r="DL3932" s="13"/>
    </row>
    <row r="3933" spans="107:116" ht="12.75" customHeight="1">
      <c r="DC3933" s="19"/>
      <c r="DL3933" s="13"/>
    </row>
    <row r="3934" spans="107:116" ht="12.75" customHeight="1">
      <c r="DC3934" s="19"/>
      <c r="DL3934" s="13"/>
    </row>
    <row r="3935" spans="107:116" ht="12.75" customHeight="1">
      <c r="DC3935" s="19"/>
      <c r="DL3935" s="13"/>
    </row>
    <row r="3936" spans="107:116" ht="12.75" customHeight="1">
      <c r="DC3936" s="19"/>
      <c r="DL3936" s="13"/>
    </row>
    <row r="3937" spans="107:116" ht="12.75" customHeight="1">
      <c r="DC3937" s="19"/>
      <c r="DL3937" s="13"/>
    </row>
    <row r="3938" spans="107:116" ht="12.75" customHeight="1">
      <c r="DC3938" s="19"/>
      <c r="DL3938" s="13"/>
    </row>
    <row r="3939" spans="107:116" ht="12.75" customHeight="1">
      <c r="DC3939" s="19"/>
      <c r="DL3939" s="13"/>
    </row>
    <row r="3940" spans="107:116" ht="12.75" customHeight="1">
      <c r="DC3940" s="19"/>
      <c r="DL3940" s="13"/>
    </row>
    <row r="3941" spans="107:116" ht="12.75" customHeight="1">
      <c r="DC3941" s="19"/>
      <c r="DL3941" s="13"/>
    </row>
    <row r="3942" spans="107:116" ht="12.75" customHeight="1">
      <c r="DC3942" s="19"/>
      <c r="DL3942" s="13"/>
    </row>
    <row r="3943" spans="107:116" ht="12.75" customHeight="1">
      <c r="DC3943" s="19"/>
      <c r="DL3943" s="13"/>
    </row>
    <row r="3944" spans="107:116" ht="12.75" customHeight="1">
      <c r="DC3944" s="19"/>
      <c r="DL3944" s="13"/>
    </row>
    <row r="3945" spans="107:116" ht="12.75" customHeight="1">
      <c r="DC3945" s="19"/>
      <c r="DL3945" s="13"/>
    </row>
    <row r="3946" spans="107:116" ht="12.75" customHeight="1">
      <c r="DC3946" s="19"/>
      <c r="DL3946" s="13"/>
    </row>
    <row r="3947" spans="107:116" ht="12.75" customHeight="1">
      <c r="DC3947" s="19"/>
      <c r="DL3947" s="13"/>
    </row>
    <row r="3948" spans="107:116" ht="12.75" customHeight="1">
      <c r="DC3948" s="19"/>
      <c r="DL3948" s="13"/>
    </row>
    <row r="3949" spans="107:116" ht="12.75" customHeight="1">
      <c r="DC3949" s="19"/>
      <c r="DL3949" s="13"/>
    </row>
    <row r="3950" spans="107:116" ht="12.75" customHeight="1">
      <c r="DC3950" s="19"/>
      <c r="DL3950" s="13"/>
    </row>
    <row r="3951" spans="107:116" ht="12.75" customHeight="1">
      <c r="DC3951" s="19"/>
      <c r="DL3951" s="13"/>
    </row>
    <row r="3952" spans="107:116" ht="12.75" customHeight="1">
      <c r="DC3952" s="19"/>
      <c r="DL3952" s="13"/>
    </row>
    <row r="3953" spans="107:116" ht="12.75" customHeight="1">
      <c r="DC3953" s="19"/>
      <c r="DL3953" s="13"/>
    </row>
    <row r="3954" spans="107:116" ht="12.75" customHeight="1">
      <c r="DC3954" s="19"/>
      <c r="DL3954" s="13"/>
    </row>
    <row r="3955" spans="107:116" ht="12.75" customHeight="1">
      <c r="DC3955" s="19"/>
      <c r="DL3955" s="13"/>
    </row>
    <row r="3956" spans="107:116" ht="12.75" customHeight="1">
      <c r="DC3956" s="19"/>
      <c r="DL3956" s="13"/>
    </row>
    <row r="3957" spans="107:116" ht="12.75" customHeight="1">
      <c r="DC3957" s="19"/>
      <c r="DL3957" s="13"/>
    </row>
    <row r="3958" spans="107:116" ht="12.75" customHeight="1">
      <c r="DC3958" s="19"/>
      <c r="DL3958" s="13"/>
    </row>
    <row r="3959" spans="107:116" ht="12.75" customHeight="1">
      <c r="DC3959" s="19"/>
      <c r="DL3959" s="13"/>
    </row>
    <row r="3960" spans="107:116" ht="12.75" customHeight="1">
      <c r="DC3960" s="19"/>
      <c r="DL3960" s="13"/>
    </row>
    <row r="3961" spans="107:116" ht="12.75" customHeight="1">
      <c r="DC3961" s="19"/>
      <c r="DL3961" s="13"/>
    </row>
    <row r="3962" spans="107:116" ht="12.75" customHeight="1">
      <c r="DC3962" s="19"/>
      <c r="DL3962" s="13"/>
    </row>
    <row r="3963" spans="107:116" ht="12.75" customHeight="1">
      <c r="DC3963" s="19"/>
      <c r="DL3963" s="13"/>
    </row>
    <row r="3964" spans="107:116" ht="12.75" customHeight="1">
      <c r="DC3964" s="19"/>
      <c r="DL3964" s="13"/>
    </row>
    <row r="3965" spans="107:116" ht="12.75" customHeight="1">
      <c r="DC3965" s="19"/>
      <c r="DL3965" s="13"/>
    </row>
    <row r="3966" spans="107:116" ht="12.75" customHeight="1">
      <c r="DC3966" s="19"/>
      <c r="DL3966" s="13"/>
    </row>
    <row r="3967" spans="107:116" ht="12.75" customHeight="1">
      <c r="DC3967" s="19"/>
      <c r="DL3967" s="13"/>
    </row>
    <row r="3968" spans="107:116" ht="12.75" customHeight="1">
      <c r="DC3968" s="19"/>
      <c r="DL3968" s="13"/>
    </row>
    <row r="3969" spans="107:116" ht="12.75" customHeight="1">
      <c r="DC3969" s="19"/>
      <c r="DL3969" s="13"/>
    </row>
    <row r="3970" spans="107:116" ht="12.75" customHeight="1">
      <c r="DC3970" s="19"/>
      <c r="DL3970" s="13"/>
    </row>
    <row r="3971" spans="107:116" ht="12.75" customHeight="1">
      <c r="DC3971" s="19"/>
      <c r="DL3971" s="13"/>
    </row>
    <row r="3972" spans="107:116" ht="12.75" customHeight="1">
      <c r="DC3972" s="19"/>
      <c r="DL3972" s="13"/>
    </row>
    <row r="3973" spans="107:116" ht="12.75" customHeight="1">
      <c r="DC3973" s="19"/>
      <c r="DL3973" s="13"/>
    </row>
    <row r="3974" spans="107:116" ht="12.75" customHeight="1">
      <c r="DC3974" s="19"/>
      <c r="DL3974" s="13"/>
    </row>
    <row r="3975" spans="107:116" ht="12.75" customHeight="1">
      <c r="DC3975" s="19"/>
      <c r="DL3975" s="13"/>
    </row>
    <row r="3976" spans="107:116" ht="12.75" customHeight="1">
      <c r="DC3976" s="19"/>
      <c r="DL3976" s="13"/>
    </row>
    <row r="3977" spans="107:116" ht="12.75" customHeight="1">
      <c r="DC3977" s="19"/>
      <c r="DL3977" s="13"/>
    </row>
    <row r="3978" spans="107:116" ht="12.75" customHeight="1">
      <c r="DC3978" s="19"/>
      <c r="DL3978" s="13"/>
    </row>
    <row r="3979" spans="107:116" ht="12.75" customHeight="1">
      <c r="DC3979" s="19"/>
      <c r="DL3979" s="13"/>
    </row>
    <row r="3980" spans="107:116" ht="12.75" customHeight="1">
      <c r="DC3980" s="19"/>
      <c r="DL3980" s="13"/>
    </row>
    <row r="3981" spans="107:116" ht="12.75" customHeight="1">
      <c r="DC3981" s="19"/>
      <c r="DL3981" s="13"/>
    </row>
    <row r="3982" spans="107:116" ht="12.75" customHeight="1">
      <c r="DC3982" s="19"/>
      <c r="DL3982" s="13"/>
    </row>
    <row r="3983" spans="107:116" ht="12.75" customHeight="1">
      <c r="DC3983" s="19"/>
      <c r="DL3983" s="13"/>
    </row>
    <row r="3984" spans="107:116" ht="12.75" customHeight="1">
      <c r="DC3984" s="19"/>
      <c r="DL3984" s="13"/>
    </row>
    <row r="3985" spans="107:116" ht="12.75" customHeight="1">
      <c r="DC3985" s="19"/>
      <c r="DL3985" s="13"/>
    </row>
    <row r="3986" spans="107:116" ht="12.75" customHeight="1">
      <c r="DC3986" s="19"/>
      <c r="DL3986" s="13"/>
    </row>
    <row r="3987" spans="107:116" ht="12.75" customHeight="1">
      <c r="DC3987" s="19"/>
      <c r="DL3987" s="13"/>
    </row>
    <row r="3988" spans="107:116" ht="12.75" customHeight="1">
      <c r="DC3988" s="19"/>
      <c r="DL3988" s="13"/>
    </row>
    <row r="3989" spans="107:116" ht="12.75" customHeight="1">
      <c r="DC3989" s="19"/>
      <c r="DL3989" s="13"/>
    </row>
    <row r="3990" spans="107:116" ht="12.75" customHeight="1">
      <c r="DC3990" s="19"/>
      <c r="DL3990" s="13"/>
    </row>
    <row r="3991" spans="107:116" ht="12.75" customHeight="1">
      <c r="DC3991" s="19"/>
      <c r="DL3991" s="13"/>
    </row>
    <row r="3992" spans="107:116" ht="12.75" customHeight="1">
      <c r="DC3992" s="19"/>
      <c r="DL3992" s="13"/>
    </row>
    <row r="3993" spans="107:116" ht="12.75" customHeight="1">
      <c r="DC3993" s="19"/>
      <c r="DL3993" s="13"/>
    </row>
    <row r="3994" spans="107:116" ht="12.75" customHeight="1">
      <c r="DC3994" s="19"/>
      <c r="DL3994" s="13"/>
    </row>
    <row r="3995" spans="107:116" ht="12.75" customHeight="1">
      <c r="DC3995" s="19"/>
      <c r="DL3995" s="13"/>
    </row>
    <row r="3996" spans="107:116" ht="12.75" customHeight="1">
      <c r="DC3996" s="19"/>
      <c r="DL3996" s="13"/>
    </row>
    <row r="3997" spans="107:116" ht="12.75" customHeight="1">
      <c r="DC3997" s="19"/>
      <c r="DL3997" s="13"/>
    </row>
    <row r="3998" spans="107:116" ht="12.75" customHeight="1">
      <c r="DC3998" s="19"/>
      <c r="DL3998" s="13"/>
    </row>
    <row r="3999" spans="107:116" ht="12.75" customHeight="1">
      <c r="DC3999" s="19"/>
      <c r="DL3999" s="13"/>
    </row>
    <row r="4000" spans="107:116" ht="12.75" customHeight="1">
      <c r="DC4000" s="19"/>
      <c r="DL4000" s="13"/>
    </row>
    <row r="4001" spans="107:116" ht="12.75" customHeight="1">
      <c r="DC4001" s="19"/>
      <c r="DL4001" s="13"/>
    </row>
    <row r="4002" spans="107:116" ht="12.75" customHeight="1">
      <c r="DC4002" s="19"/>
      <c r="DL4002" s="13"/>
    </row>
    <row r="4003" spans="107:116" ht="12.75" customHeight="1">
      <c r="DC4003" s="19"/>
      <c r="DL4003" s="13"/>
    </row>
    <row r="4004" spans="107:116" ht="12.75" customHeight="1">
      <c r="DC4004" s="19"/>
      <c r="DL4004" s="13"/>
    </row>
    <row r="4005" spans="107:116" ht="12.75" customHeight="1">
      <c r="DC4005" s="19"/>
      <c r="DL4005" s="13"/>
    </row>
    <row r="4006" spans="107:116" ht="12.75" customHeight="1">
      <c r="DC4006" s="19"/>
      <c r="DL4006" s="13"/>
    </row>
    <row r="4007" spans="107:116" ht="12.75" customHeight="1">
      <c r="DC4007" s="19"/>
      <c r="DL4007" s="13"/>
    </row>
    <row r="4008" spans="107:116" ht="12.75" customHeight="1">
      <c r="DC4008" s="19"/>
      <c r="DL4008" s="13"/>
    </row>
    <row r="4009" spans="107:116" ht="12.75" customHeight="1">
      <c r="DC4009" s="19"/>
      <c r="DL4009" s="13"/>
    </row>
    <row r="4010" spans="107:116" ht="12.75" customHeight="1">
      <c r="DC4010" s="19"/>
      <c r="DL4010" s="13"/>
    </row>
    <row r="4011" spans="107:116" ht="12.75" customHeight="1">
      <c r="DC4011" s="19"/>
      <c r="DL4011" s="13"/>
    </row>
    <row r="4012" spans="107:116" ht="12.75" customHeight="1">
      <c r="DC4012" s="19"/>
      <c r="DL4012" s="13"/>
    </row>
    <row r="4013" spans="107:116" ht="12.75" customHeight="1">
      <c r="DC4013" s="19"/>
      <c r="DL4013" s="13"/>
    </row>
    <row r="4014" spans="107:116" ht="12.75" customHeight="1">
      <c r="DC4014" s="19"/>
      <c r="DL4014" s="13"/>
    </row>
    <row r="4015" spans="107:116" ht="12.75" customHeight="1">
      <c r="DC4015" s="19"/>
      <c r="DL4015" s="13"/>
    </row>
    <row r="4016" spans="107:116" ht="12.75" customHeight="1">
      <c r="DC4016" s="19"/>
      <c r="DL4016" s="13"/>
    </row>
    <row r="4017" spans="107:116" ht="12.75" customHeight="1">
      <c r="DC4017" s="19"/>
      <c r="DL4017" s="13"/>
    </row>
    <row r="4018" spans="107:116" ht="12.75" customHeight="1">
      <c r="DC4018" s="19"/>
      <c r="DL4018" s="13"/>
    </row>
    <row r="4019" spans="107:116" ht="12.75" customHeight="1">
      <c r="DC4019" s="19"/>
      <c r="DL4019" s="13"/>
    </row>
    <row r="4020" spans="107:116" ht="12.75" customHeight="1">
      <c r="DC4020" s="19"/>
      <c r="DL4020" s="13"/>
    </row>
    <row r="4021" spans="107:116" ht="12.75" customHeight="1">
      <c r="DC4021" s="19"/>
      <c r="DL4021" s="13"/>
    </row>
    <row r="4022" spans="107:116" ht="12.75" customHeight="1">
      <c r="DC4022" s="19"/>
      <c r="DL4022" s="13"/>
    </row>
    <row r="4023" spans="107:116" ht="12.75" customHeight="1">
      <c r="DC4023" s="19"/>
      <c r="DL4023" s="13"/>
    </row>
    <row r="4024" spans="107:116" ht="12.75" customHeight="1">
      <c r="DC4024" s="19"/>
      <c r="DL4024" s="13"/>
    </row>
    <row r="4025" spans="107:116" ht="12.75" customHeight="1">
      <c r="DC4025" s="19"/>
      <c r="DL4025" s="13"/>
    </row>
    <row r="4026" spans="107:116" ht="12.75" customHeight="1">
      <c r="DC4026" s="19"/>
      <c r="DL4026" s="13"/>
    </row>
    <row r="4027" spans="107:116" ht="12.75" customHeight="1">
      <c r="DC4027" s="19"/>
      <c r="DL4027" s="13"/>
    </row>
    <row r="4028" spans="107:116" ht="12.75" customHeight="1">
      <c r="DC4028" s="19"/>
      <c r="DL4028" s="13"/>
    </row>
    <row r="4029" spans="107:116" ht="12.75" customHeight="1">
      <c r="DC4029" s="19"/>
      <c r="DL4029" s="13"/>
    </row>
    <row r="4030" spans="107:116" ht="12.75" customHeight="1">
      <c r="DC4030" s="19"/>
      <c r="DL4030" s="13"/>
    </row>
    <row r="4031" spans="107:116" ht="12.75" customHeight="1">
      <c r="DC4031" s="19"/>
      <c r="DL4031" s="13"/>
    </row>
    <row r="4032" spans="107:116" ht="12.75" customHeight="1">
      <c r="DC4032" s="19"/>
      <c r="DL4032" s="13"/>
    </row>
    <row r="4033" spans="107:116" ht="12.75" customHeight="1">
      <c r="DC4033" s="19"/>
      <c r="DL4033" s="13"/>
    </row>
    <row r="4034" spans="107:116" ht="12.75" customHeight="1">
      <c r="DC4034" s="19"/>
      <c r="DL4034" s="13"/>
    </row>
    <row r="4035" spans="107:116" ht="12.75" customHeight="1">
      <c r="DC4035" s="19"/>
      <c r="DL4035" s="13"/>
    </row>
    <row r="4036" spans="107:116" ht="12.75" customHeight="1">
      <c r="DC4036" s="19"/>
      <c r="DL4036" s="13"/>
    </row>
    <row r="4037" spans="107:116" ht="12.75" customHeight="1">
      <c r="DC4037" s="19"/>
      <c r="DL4037" s="13"/>
    </row>
    <row r="4038" spans="107:116" ht="12.75" customHeight="1">
      <c r="DC4038" s="19"/>
      <c r="DL4038" s="13"/>
    </row>
    <row r="4039" spans="107:116" ht="12.75" customHeight="1">
      <c r="DC4039" s="19"/>
      <c r="DL4039" s="13"/>
    </row>
    <row r="4040" spans="107:116" ht="12.75" customHeight="1">
      <c r="DC4040" s="19"/>
      <c r="DL4040" s="13"/>
    </row>
    <row r="4041" spans="107:116" ht="12.75" customHeight="1">
      <c r="DC4041" s="19"/>
      <c r="DL4041" s="13"/>
    </row>
    <row r="4042" spans="107:116" ht="12.75" customHeight="1">
      <c r="DC4042" s="19"/>
      <c r="DL4042" s="13"/>
    </row>
    <row r="4043" spans="107:116" ht="12.75" customHeight="1">
      <c r="DC4043" s="19"/>
      <c r="DL4043" s="13"/>
    </row>
    <row r="4044" spans="107:116" ht="12.75" customHeight="1">
      <c r="DC4044" s="19"/>
      <c r="DL4044" s="13"/>
    </row>
    <row r="4045" spans="107:116" ht="12.75" customHeight="1">
      <c r="DC4045" s="19"/>
      <c r="DL4045" s="13"/>
    </row>
    <row r="4046" spans="107:116" ht="12.75" customHeight="1">
      <c r="DC4046" s="19"/>
      <c r="DL4046" s="13"/>
    </row>
    <row r="4047" spans="107:116" ht="12.75" customHeight="1">
      <c r="DC4047" s="19"/>
      <c r="DL4047" s="13"/>
    </row>
    <row r="4048" spans="107:116" ht="12.75" customHeight="1">
      <c r="DC4048" s="19"/>
      <c r="DL4048" s="13"/>
    </row>
    <row r="4049" spans="107:116" ht="12.75" customHeight="1">
      <c r="DC4049" s="19"/>
      <c r="DL4049" s="13"/>
    </row>
    <row r="4050" spans="107:116" ht="12.75" customHeight="1">
      <c r="DC4050" s="19"/>
      <c r="DL4050" s="13"/>
    </row>
    <row r="4051" spans="107:116" ht="12.75" customHeight="1">
      <c r="DC4051" s="19"/>
      <c r="DL4051" s="13"/>
    </row>
    <row r="4052" spans="107:116" ht="12.75" customHeight="1">
      <c r="DC4052" s="19"/>
      <c r="DL4052" s="13"/>
    </row>
    <row r="4053" spans="107:116" ht="12.75" customHeight="1">
      <c r="DC4053" s="19"/>
      <c r="DL4053" s="13"/>
    </row>
    <row r="4054" spans="107:116" ht="12.75" customHeight="1">
      <c r="DC4054" s="19"/>
      <c r="DL4054" s="13"/>
    </row>
    <row r="4055" spans="107:116" ht="12.75" customHeight="1">
      <c r="DC4055" s="19"/>
      <c r="DL4055" s="13"/>
    </row>
    <row r="4056" spans="107:116" ht="12.75" customHeight="1">
      <c r="DC4056" s="19"/>
      <c r="DL4056" s="13"/>
    </row>
    <row r="4057" spans="107:116" ht="12.75" customHeight="1">
      <c r="DC4057" s="19"/>
      <c r="DL4057" s="13"/>
    </row>
    <row r="4058" spans="107:116" ht="12.75" customHeight="1">
      <c r="DC4058" s="19"/>
      <c r="DL4058" s="13"/>
    </row>
    <row r="4059" spans="107:116" ht="12.75" customHeight="1">
      <c r="DC4059" s="19"/>
      <c r="DL4059" s="13"/>
    </row>
    <row r="4060" spans="107:116" ht="12.75" customHeight="1">
      <c r="DC4060" s="19"/>
      <c r="DL4060" s="13"/>
    </row>
    <row r="4061" spans="107:116" ht="12.75" customHeight="1">
      <c r="DC4061" s="19"/>
      <c r="DL4061" s="13"/>
    </row>
    <row r="4062" spans="107:116" ht="12.75" customHeight="1">
      <c r="DC4062" s="19"/>
      <c r="DL4062" s="13"/>
    </row>
    <row r="4063" spans="107:116" ht="12.75" customHeight="1">
      <c r="DC4063" s="19"/>
      <c r="DL4063" s="13"/>
    </row>
    <row r="4064" spans="107:116" ht="12.75" customHeight="1">
      <c r="DC4064" s="19"/>
      <c r="DL4064" s="13"/>
    </row>
    <row r="4065" spans="107:116" ht="12.75" customHeight="1">
      <c r="DC4065" s="19"/>
      <c r="DL4065" s="13"/>
    </row>
    <row r="4066" spans="107:116" ht="12.75" customHeight="1">
      <c r="DC4066" s="19"/>
      <c r="DL4066" s="13"/>
    </row>
    <row r="4067" spans="107:116" ht="12.75" customHeight="1">
      <c r="DC4067" s="19"/>
      <c r="DL4067" s="13"/>
    </row>
    <row r="4068" spans="107:116" ht="12.75" customHeight="1">
      <c r="DC4068" s="19"/>
      <c r="DL4068" s="13"/>
    </row>
    <row r="4069" spans="107:116" ht="12.75" customHeight="1">
      <c r="DC4069" s="19"/>
      <c r="DL4069" s="13"/>
    </row>
    <row r="4070" spans="107:116" ht="12.75" customHeight="1">
      <c r="DC4070" s="19"/>
      <c r="DL4070" s="13"/>
    </row>
    <row r="4071" spans="107:116" ht="12.75" customHeight="1">
      <c r="DC4071" s="19"/>
      <c r="DL4071" s="13"/>
    </row>
    <row r="4072" spans="107:116" ht="12.75" customHeight="1">
      <c r="DC4072" s="19"/>
      <c r="DL4072" s="13"/>
    </row>
    <row r="4073" spans="107:116" ht="12.75" customHeight="1">
      <c r="DC4073" s="19"/>
      <c r="DL4073" s="13"/>
    </row>
    <row r="4074" spans="107:116" ht="12.75" customHeight="1">
      <c r="DC4074" s="19"/>
      <c r="DL4074" s="13"/>
    </row>
    <row r="4075" spans="107:116" ht="12.75" customHeight="1">
      <c r="DC4075" s="19"/>
      <c r="DL4075" s="13"/>
    </row>
    <row r="4076" spans="107:116" ht="12.75" customHeight="1">
      <c r="DC4076" s="19"/>
      <c r="DL4076" s="13"/>
    </row>
    <row r="4077" spans="107:116" ht="12.75" customHeight="1">
      <c r="DC4077" s="19"/>
      <c r="DL4077" s="13"/>
    </row>
    <row r="4078" spans="107:116" ht="12.75" customHeight="1">
      <c r="DC4078" s="19"/>
      <c r="DL4078" s="13"/>
    </row>
    <row r="4079" spans="107:116" ht="12.75" customHeight="1">
      <c r="DC4079" s="19"/>
      <c r="DL4079" s="13"/>
    </row>
    <row r="4080" spans="107:116" ht="12.75" customHeight="1">
      <c r="DC4080" s="19"/>
      <c r="DL4080" s="13"/>
    </row>
    <row r="4081" spans="107:116" ht="12.75" customHeight="1">
      <c r="DC4081" s="19"/>
      <c r="DL4081" s="13"/>
    </row>
    <row r="4082" spans="107:116" ht="12.75" customHeight="1">
      <c r="DC4082" s="19"/>
      <c r="DL4082" s="13"/>
    </row>
    <row r="4083" spans="107:116" ht="12.75" customHeight="1">
      <c r="DC4083" s="19"/>
      <c r="DL4083" s="13"/>
    </row>
    <row r="4084" spans="107:116" ht="12.75" customHeight="1">
      <c r="DC4084" s="19"/>
      <c r="DL4084" s="13"/>
    </row>
    <row r="4085" spans="107:116" ht="12.75" customHeight="1">
      <c r="DC4085" s="19"/>
      <c r="DL4085" s="13"/>
    </row>
    <row r="4086" spans="107:116" ht="12.75" customHeight="1">
      <c r="DC4086" s="19"/>
      <c r="DL4086" s="13"/>
    </row>
    <row r="4087" spans="107:116" ht="12.75" customHeight="1">
      <c r="DC4087" s="19"/>
      <c r="DL4087" s="13"/>
    </row>
    <row r="4088" spans="107:116" ht="12.75" customHeight="1">
      <c r="DC4088" s="19"/>
      <c r="DL4088" s="13"/>
    </row>
    <row r="4089" spans="107:116" ht="12.75" customHeight="1">
      <c r="DC4089" s="19"/>
      <c r="DL4089" s="13"/>
    </row>
    <row r="4090" spans="107:116" ht="12.75" customHeight="1">
      <c r="DC4090" s="19"/>
      <c r="DL4090" s="13"/>
    </row>
    <row r="4091" spans="107:116" ht="12.75" customHeight="1">
      <c r="DC4091" s="19"/>
      <c r="DL4091" s="13"/>
    </row>
    <row r="4092" spans="107:116" ht="12.75" customHeight="1">
      <c r="DC4092" s="19"/>
      <c r="DL4092" s="13"/>
    </row>
    <row r="4093" spans="107:116" ht="12.75" customHeight="1">
      <c r="DC4093" s="19"/>
      <c r="DL4093" s="13"/>
    </row>
    <row r="4094" spans="107:116" ht="12.75" customHeight="1">
      <c r="DC4094" s="19"/>
      <c r="DL4094" s="13"/>
    </row>
    <row r="4095" spans="107:116" ht="12.75" customHeight="1">
      <c r="DC4095" s="19"/>
      <c r="DL4095" s="13"/>
    </row>
    <row r="4096" spans="107:116" ht="12.75" customHeight="1">
      <c r="DC4096" s="19"/>
      <c r="DL4096" s="13"/>
    </row>
    <row r="4097" spans="101:116" ht="12.75" customHeight="1">
      <c r="DC4097" s="19"/>
      <c r="DL4097" s="13"/>
    </row>
    <row r="4098" spans="101:116" ht="12.75" customHeight="1">
      <c r="DC4098" s="19"/>
      <c r="DL4098" s="13"/>
    </row>
    <row r="4099" spans="101:116" ht="12.75" customHeight="1">
      <c r="DC4099" s="19"/>
      <c r="DL4099" s="13"/>
    </row>
    <row r="4100" spans="101:116" ht="12.75" customHeight="1">
      <c r="DC4100" s="19"/>
      <c r="DL4100" s="13"/>
    </row>
    <row r="4101" spans="101:116" ht="12.75" customHeight="1">
      <c r="DC4101" s="19"/>
      <c r="DL4101" s="13"/>
    </row>
    <row r="4102" spans="101:116" ht="12.75" customHeight="1">
      <c r="DC4102" s="19"/>
      <c r="DL4102" s="13"/>
    </row>
    <row r="4103" spans="101:116" ht="12.75" customHeight="1">
      <c r="DC4103" s="19"/>
      <c r="DL4103" s="13"/>
    </row>
    <row r="4104" spans="101:116" ht="12.75" customHeight="1">
      <c r="DC4104" s="19"/>
      <c r="DL4104" s="13"/>
    </row>
    <row r="4105" spans="101:116" ht="12.75" customHeight="1">
      <c r="DC4105" s="19"/>
      <c r="DL4105" s="13"/>
    </row>
    <row r="4106" spans="101:116" ht="12.75" customHeight="1">
      <c r="CW4106" s="1"/>
      <c r="CX4106" s="1"/>
      <c r="DC4106" s="19"/>
      <c r="DL4106" s="13"/>
    </row>
    <row r="4107" spans="101:116" ht="12.75" customHeight="1">
      <c r="CW4107" s="1"/>
      <c r="CX4107" s="1"/>
      <c r="DC4107" s="19"/>
      <c r="DL4107" s="13"/>
    </row>
    <row r="4108" spans="101:116" ht="12.75" customHeight="1">
      <c r="CW4108" s="1"/>
      <c r="CX4108" s="1"/>
      <c r="DC4108" s="19"/>
      <c r="DL4108" s="13"/>
    </row>
    <row r="4109" spans="101:116" ht="12.75" customHeight="1">
      <c r="CW4109" s="1"/>
      <c r="CX4109" s="1"/>
      <c r="DC4109" s="19"/>
      <c r="DL4109" s="13"/>
    </row>
    <row r="4110" spans="101:116" ht="12.75" customHeight="1">
      <c r="CW4110" s="1"/>
      <c r="CX4110" s="1"/>
      <c r="DC4110" s="19"/>
      <c r="DL4110" s="13"/>
    </row>
    <row r="4111" spans="101:116" ht="12.75" customHeight="1">
      <c r="CW4111" s="1"/>
      <c r="CX4111" s="1"/>
      <c r="DC4111" s="19"/>
      <c r="DL4111" s="13"/>
    </row>
    <row r="4112" spans="101:116" ht="12.75" customHeight="1">
      <c r="CW4112" s="1"/>
      <c r="CX4112" s="1"/>
      <c r="DC4112" s="19"/>
      <c r="DL4112" s="13"/>
    </row>
    <row r="4113" spans="101:116" ht="12.75" customHeight="1">
      <c r="CW4113" s="1"/>
      <c r="CX4113" s="1"/>
      <c r="DC4113" s="19"/>
      <c r="DL4113" s="13"/>
    </row>
    <row r="4114" spans="101:116" ht="12.75" customHeight="1">
      <c r="CW4114" s="1"/>
      <c r="CX4114" s="1"/>
      <c r="DC4114" s="19"/>
      <c r="DL4114" s="13"/>
    </row>
    <row r="4115" spans="101:116" ht="12.75" customHeight="1">
      <c r="CW4115" s="1"/>
      <c r="CX4115" s="1"/>
      <c r="DC4115" s="19"/>
      <c r="DL4115" s="13"/>
    </row>
    <row r="4116" spans="101:116" ht="12.75" customHeight="1">
      <c r="CW4116" s="1"/>
      <c r="CX4116" s="1"/>
      <c r="DC4116" s="19"/>
      <c r="DL4116" s="13"/>
    </row>
    <row r="4117" spans="101:116" ht="12.75" customHeight="1">
      <c r="CW4117" s="1"/>
      <c r="CX4117" s="1"/>
      <c r="DC4117" s="19"/>
      <c r="DL4117" s="13"/>
    </row>
    <row r="4118" spans="101:116" ht="12.75" customHeight="1">
      <c r="CW4118" s="1"/>
      <c r="CX4118" s="1"/>
      <c r="DC4118" s="19"/>
      <c r="DL4118" s="13"/>
    </row>
    <row r="4119" spans="101:116" ht="12.75" customHeight="1">
      <c r="CW4119" s="1"/>
      <c r="CX4119" s="1"/>
      <c r="DC4119" s="19"/>
      <c r="DL4119" s="13"/>
    </row>
    <row r="4120" spans="101:116" ht="12.75" customHeight="1">
      <c r="CW4120" s="1"/>
      <c r="CX4120" s="1"/>
      <c r="DC4120" s="19"/>
      <c r="DL4120" s="13"/>
    </row>
    <row r="4121" spans="101:116" ht="12.75" customHeight="1">
      <c r="CW4121" s="1"/>
      <c r="CX4121" s="1"/>
      <c r="DC4121" s="19"/>
      <c r="DL4121" s="13"/>
    </row>
    <row r="4122" spans="101:116" ht="12.75" customHeight="1">
      <c r="CW4122" s="1"/>
      <c r="CX4122" s="1"/>
      <c r="DC4122" s="19"/>
      <c r="DL4122" s="13"/>
    </row>
    <row r="4123" spans="101:116" ht="12.75" customHeight="1">
      <c r="CW4123" s="1"/>
      <c r="CX4123" s="1"/>
      <c r="DC4123" s="19"/>
      <c r="DL4123" s="13"/>
    </row>
    <row r="4124" spans="101:116" ht="12.75" customHeight="1">
      <c r="CW4124" s="1"/>
      <c r="CX4124" s="1"/>
      <c r="DC4124" s="19"/>
      <c r="DL4124" s="13"/>
    </row>
    <row r="4125" spans="101:116" ht="12.75" customHeight="1">
      <c r="CW4125" s="1"/>
      <c r="CX4125" s="1"/>
      <c r="DC4125" s="19"/>
      <c r="DL4125" s="13"/>
    </row>
    <row r="4126" spans="101:116" ht="12.75" customHeight="1">
      <c r="CW4126" s="1"/>
      <c r="CX4126" s="1"/>
      <c r="DC4126" s="19"/>
      <c r="DL4126" s="13"/>
    </row>
    <row r="4127" spans="101:116" ht="12.75" customHeight="1">
      <c r="CW4127" s="1"/>
      <c r="CX4127" s="1"/>
      <c r="DC4127" s="19"/>
      <c r="DL4127" s="13"/>
    </row>
    <row r="4128" spans="101:116" ht="12.75" customHeight="1">
      <c r="CW4128" s="1"/>
      <c r="CX4128" s="1"/>
      <c r="DC4128" s="19"/>
      <c r="DL4128" s="13"/>
    </row>
    <row r="4129" spans="101:116" ht="12.75" customHeight="1">
      <c r="CW4129" s="1"/>
      <c r="CX4129" s="1"/>
      <c r="DC4129" s="19"/>
      <c r="DL4129" s="13"/>
    </row>
    <row r="4130" spans="101:116" ht="12.75" customHeight="1">
      <c r="CW4130" s="1"/>
      <c r="CX4130" s="1"/>
      <c r="DC4130" s="19"/>
      <c r="DL4130" s="13"/>
    </row>
    <row r="4131" spans="101:116" ht="12.75" customHeight="1">
      <c r="CW4131" s="1"/>
      <c r="CX4131" s="1"/>
      <c r="DC4131" s="19"/>
      <c r="DL4131" s="13"/>
    </row>
    <row r="4132" spans="101:116" ht="12.75" customHeight="1">
      <c r="CW4132" s="1"/>
      <c r="CX4132" s="1"/>
      <c r="DC4132" s="19"/>
      <c r="DL4132" s="13"/>
    </row>
    <row r="4133" spans="101:116" ht="12.75" customHeight="1">
      <c r="CW4133" s="1"/>
      <c r="CX4133" s="1"/>
      <c r="DC4133" s="19"/>
      <c r="DL4133" s="13"/>
    </row>
    <row r="4134" spans="101:116" ht="12.75" customHeight="1">
      <c r="CW4134" s="1"/>
      <c r="CX4134" s="1"/>
      <c r="DC4134" s="19"/>
      <c r="DL4134" s="13"/>
    </row>
    <row r="4135" spans="101:116" ht="12.75" customHeight="1">
      <c r="CW4135" s="1"/>
      <c r="CX4135" s="1"/>
      <c r="DC4135" s="19"/>
      <c r="DL4135" s="13"/>
    </row>
    <row r="4136" spans="101:116" ht="12.75" customHeight="1">
      <c r="CW4136" s="1"/>
      <c r="CX4136" s="1"/>
      <c r="DC4136" s="19"/>
      <c r="DL4136" s="13"/>
    </row>
    <row r="4137" spans="101:116" ht="12.75" customHeight="1">
      <c r="CW4137" s="1"/>
      <c r="CX4137" s="1"/>
      <c r="DC4137" s="19"/>
      <c r="DL4137" s="13"/>
    </row>
    <row r="4138" spans="101:116" ht="12.75" customHeight="1">
      <c r="DC4138" s="19"/>
      <c r="DL4138" s="13"/>
    </row>
    <row r="4139" spans="101:116" ht="12.75" customHeight="1">
      <c r="DC4139" s="19"/>
      <c r="DL4139" s="13"/>
    </row>
    <row r="4140" spans="101:116" ht="12.75" customHeight="1">
      <c r="DC4140" s="19"/>
      <c r="DL4140" s="13"/>
    </row>
    <row r="4141" spans="101:116" ht="12.75" customHeight="1">
      <c r="DC4141" s="19"/>
      <c r="DL4141" s="13"/>
    </row>
    <row r="4142" spans="101:116" ht="12.75" customHeight="1">
      <c r="DC4142" s="19"/>
      <c r="DL4142" s="13"/>
    </row>
    <row r="4143" spans="101:116" ht="12.75" customHeight="1">
      <c r="DC4143" s="19"/>
      <c r="DL4143" s="13"/>
    </row>
    <row r="4144" spans="101:116" ht="12.75" customHeight="1">
      <c r="DC4144" s="19"/>
      <c r="DL4144" s="13"/>
    </row>
    <row r="4145" spans="107:116" ht="12.75" customHeight="1">
      <c r="DC4145" s="19"/>
      <c r="DL4145" s="13"/>
    </row>
    <row r="4146" spans="107:116" ht="12.75" customHeight="1">
      <c r="DC4146" s="19"/>
      <c r="DL4146" s="13"/>
    </row>
    <row r="4147" spans="107:116" ht="12.75" customHeight="1">
      <c r="DC4147" s="19"/>
      <c r="DL4147" s="13"/>
    </row>
    <row r="4148" spans="107:116" ht="12.75" customHeight="1">
      <c r="DC4148" s="19"/>
      <c r="DL4148" s="13"/>
    </row>
    <row r="4149" spans="107:116" ht="12.75" customHeight="1">
      <c r="DC4149" s="19"/>
      <c r="DL4149" s="13"/>
    </row>
    <row r="4150" spans="107:116" ht="12.75" customHeight="1">
      <c r="DC4150" s="19"/>
      <c r="DL4150" s="13"/>
    </row>
    <row r="4151" spans="107:116" ht="12.75" customHeight="1">
      <c r="DC4151" s="19"/>
      <c r="DL4151" s="13"/>
    </row>
    <row r="4152" spans="107:116" ht="12.75" customHeight="1">
      <c r="DC4152" s="19"/>
      <c r="DL4152" s="13"/>
    </row>
    <row r="4153" spans="107:116" ht="12.75" customHeight="1">
      <c r="DC4153" s="19"/>
      <c r="DL4153" s="13"/>
    </row>
    <row r="4154" spans="107:116" ht="12.75" customHeight="1">
      <c r="DC4154" s="19"/>
      <c r="DL4154" s="13"/>
    </row>
    <row r="4155" spans="107:116" ht="12.75" customHeight="1">
      <c r="DC4155" s="19"/>
      <c r="DL4155" s="13"/>
    </row>
    <row r="4156" spans="107:116" ht="12.75" customHeight="1">
      <c r="DC4156" s="19"/>
      <c r="DL4156" s="13"/>
    </row>
    <row r="4157" spans="107:116" ht="12.75" customHeight="1">
      <c r="DC4157" s="19"/>
      <c r="DL4157" s="13"/>
    </row>
    <row r="4158" spans="107:116" ht="12.75" customHeight="1">
      <c r="DC4158" s="19"/>
      <c r="DL4158" s="13"/>
    </row>
    <row r="4159" spans="107:116" ht="12.75" customHeight="1">
      <c r="DC4159" s="19"/>
      <c r="DL4159" s="13"/>
    </row>
    <row r="4160" spans="107:116" ht="12.75" customHeight="1">
      <c r="DC4160" s="19"/>
      <c r="DL4160" s="13"/>
    </row>
    <row r="4161" spans="107:116" ht="12.75" customHeight="1">
      <c r="DC4161" s="19"/>
      <c r="DL4161" s="13"/>
    </row>
    <row r="4162" spans="107:116" ht="12.75" customHeight="1">
      <c r="DC4162" s="19"/>
      <c r="DL4162" s="13"/>
    </row>
    <row r="4163" spans="107:116" ht="12.75" customHeight="1">
      <c r="DC4163" s="19"/>
      <c r="DL4163" s="13"/>
    </row>
    <row r="4164" spans="107:116" ht="12.75" customHeight="1">
      <c r="DC4164" s="19"/>
      <c r="DL4164" s="13"/>
    </row>
    <row r="4165" spans="107:116" ht="12.75" customHeight="1">
      <c r="DC4165" s="19"/>
      <c r="DL4165" s="13"/>
    </row>
    <row r="4166" spans="107:116" ht="12.75" customHeight="1">
      <c r="DC4166" s="19"/>
      <c r="DL4166" s="13"/>
    </row>
    <row r="4167" spans="107:116" ht="12.75" customHeight="1">
      <c r="DC4167" s="19"/>
      <c r="DL4167" s="13"/>
    </row>
    <row r="4168" spans="107:116" ht="12.75" customHeight="1">
      <c r="DC4168" s="19"/>
      <c r="DL4168" s="13"/>
    </row>
    <row r="4169" spans="107:116" ht="12.75" customHeight="1">
      <c r="DC4169" s="19"/>
      <c r="DL4169" s="13"/>
    </row>
    <row r="4170" spans="107:116" ht="12.75" customHeight="1">
      <c r="DC4170" s="19"/>
      <c r="DL4170" s="13"/>
    </row>
    <row r="4171" spans="107:116" ht="12.75" customHeight="1">
      <c r="DC4171" s="19"/>
      <c r="DL4171" s="13"/>
    </row>
    <row r="4172" spans="107:116" ht="12.75" customHeight="1">
      <c r="DC4172" s="19"/>
      <c r="DL4172" s="13"/>
    </row>
    <row r="4173" spans="107:116" ht="12.75" customHeight="1">
      <c r="DC4173" s="19"/>
      <c r="DL4173" s="13"/>
    </row>
    <row r="4174" spans="107:116" ht="12.75" customHeight="1">
      <c r="DC4174" s="19"/>
      <c r="DL4174" s="13"/>
    </row>
    <row r="4175" spans="107:116" ht="12.75" customHeight="1">
      <c r="DC4175" s="19"/>
      <c r="DL4175" s="13"/>
    </row>
    <row r="4176" spans="107:116" ht="12.75" customHeight="1">
      <c r="DC4176" s="19"/>
      <c r="DL4176" s="13"/>
    </row>
    <row r="4177" spans="107:116" ht="12.75" customHeight="1">
      <c r="DC4177" s="19"/>
      <c r="DL4177" s="13"/>
    </row>
    <row r="4178" spans="107:116" ht="12.75" customHeight="1">
      <c r="DC4178" s="19"/>
      <c r="DL4178" s="13"/>
    </row>
    <row r="4179" spans="107:116" ht="12.75" customHeight="1">
      <c r="DC4179" s="19"/>
      <c r="DL4179" s="13"/>
    </row>
    <row r="4180" spans="107:116" ht="12.75" customHeight="1">
      <c r="DC4180" s="19"/>
      <c r="DL4180" s="13"/>
    </row>
    <row r="4181" spans="107:116" ht="12.75" customHeight="1">
      <c r="DC4181" s="19"/>
      <c r="DL4181" s="13"/>
    </row>
    <row r="4182" spans="107:116" ht="12.75" customHeight="1">
      <c r="DC4182" s="19"/>
      <c r="DL4182" s="13"/>
    </row>
    <row r="4183" spans="107:116" ht="12.75" customHeight="1">
      <c r="DC4183" s="19"/>
      <c r="DL4183" s="13"/>
    </row>
    <row r="4184" spans="107:116" ht="12.75" customHeight="1">
      <c r="DC4184" s="19"/>
      <c r="DL4184" s="13"/>
    </row>
    <row r="4185" spans="107:116" ht="12.75" customHeight="1">
      <c r="DC4185" s="19"/>
      <c r="DL4185" s="13"/>
    </row>
    <row r="4186" spans="107:116" ht="12.75" customHeight="1">
      <c r="DC4186" s="19"/>
      <c r="DL4186" s="13"/>
    </row>
    <row r="4187" spans="107:116" ht="12.75" customHeight="1">
      <c r="DC4187" s="19"/>
      <c r="DL4187" s="13"/>
    </row>
    <row r="4188" spans="107:116" ht="12.75" customHeight="1">
      <c r="DC4188" s="19"/>
      <c r="DL4188" s="13"/>
    </row>
    <row r="4189" spans="107:116" ht="12.75" customHeight="1">
      <c r="DC4189" s="19"/>
      <c r="DL4189" s="13"/>
    </row>
    <row r="4190" spans="107:116" ht="12.75" customHeight="1">
      <c r="DC4190" s="19"/>
      <c r="DL4190" s="13"/>
    </row>
    <row r="4191" spans="107:116" ht="12.75" customHeight="1">
      <c r="DC4191" s="19"/>
      <c r="DL4191" s="13"/>
    </row>
    <row r="4192" spans="107:116" ht="12.75" customHeight="1">
      <c r="DC4192" s="19"/>
      <c r="DL4192" s="13"/>
    </row>
    <row r="4193" spans="107:116" ht="12.75" customHeight="1">
      <c r="DC4193" s="19"/>
      <c r="DL4193" s="13"/>
    </row>
    <row r="4194" spans="107:116" ht="12.75" customHeight="1">
      <c r="DC4194" s="19"/>
      <c r="DL4194" s="13"/>
    </row>
    <row r="4195" spans="107:116" ht="12.75" customHeight="1">
      <c r="DC4195" s="19"/>
      <c r="DL4195" s="13"/>
    </row>
    <row r="4196" spans="107:116" ht="12.75" customHeight="1">
      <c r="DC4196" s="19"/>
      <c r="DL4196" s="13"/>
    </row>
    <row r="4197" spans="107:116" ht="12.75" customHeight="1">
      <c r="DC4197" s="19"/>
      <c r="DL4197" s="13"/>
    </row>
    <row r="4198" spans="107:116" ht="12.75" customHeight="1">
      <c r="DC4198" s="19"/>
      <c r="DL4198" s="13"/>
    </row>
    <row r="4199" spans="107:116" ht="12.75" customHeight="1">
      <c r="DC4199" s="19"/>
      <c r="DL4199" s="13"/>
    </row>
    <row r="4200" spans="107:116" ht="12.75" customHeight="1">
      <c r="DC4200" s="19"/>
      <c r="DL4200" s="13"/>
    </row>
    <row r="4201" spans="107:116" ht="12.75" customHeight="1">
      <c r="DC4201" s="19"/>
      <c r="DL4201" s="13"/>
    </row>
    <row r="4202" spans="107:116" ht="12.75" customHeight="1">
      <c r="DC4202" s="19"/>
      <c r="DL4202" s="13"/>
    </row>
    <row r="4203" spans="107:116" ht="12.75" customHeight="1">
      <c r="DC4203" s="19"/>
      <c r="DL4203" s="13"/>
    </row>
    <row r="4204" spans="107:116" ht="12.75" customHeight="1">
      <c r="DC4204" s="19"/>
      <c r="DL4204" s="13"/>
    </row>
    <row r="4205" spans="107:116" ht="12.75" customHeight="1">
      <c r="DC4205" s="19"/>
      <c r="DL4205" s="13"/>
    </row>
    <row r="4206" spans="107:116" ht="12.75" customHeight="1">
      <c r="DC4206" s="19"/>
      <c r="DL4206" s="13"/>
    </row>
    <row r="4207" spans="107:116" ht="12.75" customHeight="1">
      <c r="DC4207" s="19"/>
      <c r="DL4207" s="13"/>
    </row>
    <row r="4208" spans="107:116" ht="12.75" customHeight="1">
      <c r="DC4208" s="19"/>
      <c r="DL4208" s="13"/>
    </row>
    <row r="4209" spans="107:116" ht="12.75" customHeight="1">
      <c r="DC4209" s="19"/>
      <c r="DL4209" s="13"/>
    </row>
    <row r="4210" spans="107:116" ht="12.75" customHeight="1">
      <c r="DC4210" s="19"/>
      <c r="DL4210" s="13"/>
    </row>
    <row r="4211" spans="107:116" ht="12.75" customHeight="1">
      <c r="DC4211" s="19"/>
      <c r="DL4211" s="13"/>
    </row>
    <row r="4212" spans="107:116" ht="12.75" customHeight="1">
      <c r="DC4212" s="19"/>
      <c r="DL4212" s="13"/>
    </row>
    <row r="4213" spans="107:116" ht="12.75" customHeight="1">
      <c r="DC4213" s="19"/>
      <c r="DL4213" s="13"/>
    </row>
    <row r="4214" spans="107:116" ht="12.75" customHeight="1">
      <c r="DC4214" s="19"/>
      <c r="DL4214" s="13"/>
    </row>
    <row r="4215" spans="107:116" ht="12.75" customHeight="1">
      <c r="DC4215" s="19"/>
      <c r="DL4215" s="13"/>
    </row>
    <row r="4216" spans="107:116" ht="12.75" customHeight="1">
      <c r="DC4216" s="19"/>
      <c r="DL4216" s="13"/>
    </row>
    <row r="4217" spans="107:116" ht="12.75" customHeight="1">
      <c r="DC4217" s="19"/>
      <c r="DL4217" s="13"/>
    </row>
    <row r="4218" spans="107:116" ht="12.75" customHeight="1">
      <c r="DC4218" s="19"/>
      <c r="DL4218" s="13"/>
    </row>
    <row r="4219" spans="107:116" ht="12.75" customHeight="1">
      <c r="DC4219" s="19"/>
      <c r="DL4219" s="13"/>
    </row>
    <row r="4220" spans="107:116" ht="12.75" customHeight="1">
      <c r="DC4220" s="19"/>
      <c r="DL4220" s="13"/>
    </row>
    <row r="4221" spans="107:116" ht="12.75" customHeight="1">
      <c r="DC4221" s="19"/>
      <c r="DL4221" s="13"/>
    </row>
    <row r="4222" spans="107:116" ht="12.75" customHeight="1">
      <c r="DC4222" s="19"/>
      <c r="DL4222" s="13"/>
    </row>
    <row r="4223" spans="107:116" ht="12.75" customHeight="1">
      <c r="DC4223" s="19"/>
      <c r="DL4223" s="13"/>
    </row>
    <row r="4224" spans="107:116" ht="12.75" customHeight="1">
      <c r="DC4224" s="19"/>
      <c r="DL4224" s="13"/>
    </row>
    <row r="4225" spans="101:116" ht="12.75" customHeight="1">
      <c r="DC4225" s="19"/>
      <c r="DL4225" s="13"/>
    </row>
    <row r="4226" spans="101:116" ht="12.75" customHeight="1">
      <c r="DC4226" s="19"/>
      <c r="DL4226" s="13"/>
    </row>
    <row r="4227" spans="101:116" ht="12.75" customHeight="1">
      <c r="DC4227" s="19"/>
      <c r="DL4227" s="13"/>
    </row>
    <row r="4228" spans="101:116" ht="12.75" customHeight="1">
      <c r="DC4228" s="19"/>
      <c r="DL4228" s="13"/>
    </row>
    <row r="4229" spans="101:116" ht="12.75" customHeight="1">
      <c r="DC4229" s="19"/>
      <c r="DL4229" s="13"/>
    </row>
    <row r="4230" spans="101:116" ht="12.75" customHeight="1">
      <c r="DC4230" s="19"/>
      <c r="DL4230" s="13"/>
    </row>
    <row r="4231" spans="101:116" ht="12.75" customHeight="1">
      <c r="DC4231" s="19"/>
      <c r="DL4231" s="13"/>
    </row>
    <row r="4232" spans="101:116" ht="12.75" customHeight="1">
      <c r="DC4232" s="19"/>
      <c r="DL4232" s="13"/>
    </row>
    <row r="4233" spans="101:116" ht="12.75" customHeight="1">
      <c r="DC4233" s="19"/>
      <c r="DL4233" s="13"/>
    </row>
    <row r="4234" spans="101:116" ht="12.75" customHeight="1">
      <c r="DC4234" s="19"/>
      <c r="DL4234" s="13"/>
    </row>
    <row r="4235" spans="101:116" ht="12.75" customHeight="1">
      <c r="DC4235" s="19"/>
      <c r="DL4235" s="13"/>
    </row>
    <row r="4236" spans="101:116" ht="12.75" customHeight="1">
      <c r="CW4236" s="1"/>
      <c r="DC4236" s="19"/>
      <c r="DL4236" s="13"/>
    </row>
    <row r="4237" spans="101:116" ht="12.75" customHeight="1">
      <c r="CW4237" s="1"/>
      <c r="DC4237" s="19"/>
      <c r="DL4237" s="13"/>
    </row>
    <row r="4238" spans="101:116" ht="12.75" customHeight="1">
      <c r="CW4238" s="1"/>
      <c r="DC4238" s="19"/>
      <c r="DL4238" s="13"/>
    </row>
    <row r="4239" spans="101:116" ht="12.75" customHeight="1">
      <c r="CW4239" s="1"/>
      <c r="DC4239" s="19"/>
      <c r="DL4239" s="13"/>
    </row>
    <row r="4240" spans="101:116" ht="12.75" customHeight="1">
      <c r="CW4240" s="1"/>
      <c r="DC4240" s="19"/>
      <c r="DL4240" s="13"/>
    </row>
    <row r="4241" spans="101:116" ht="12.75" customHeight="1">
      <c r="CW4241" s="1"/>
      <c r="DC4241" s="19"/>
      <c r="DL4241" s="13"/>
    </row>
    <row r="4242" spans="101:116" ht="12.75" customHeight="1">
      <c r="CW4242" s="1"/>
      <c r="DC4242" s="19"/>
      <c r="DL4242" s="13"/>
    </row>
    <row r="4243" spans="101:116" ht="12.75" customHeight="1">
      <c r="CW4243" s="1"/>
      <c r="DC4243" s="19"/>
      <c r="DL4243" s="13"/>
    </row>
    <row r="4244" spans="101:116" ht="12.75" customHeight="1">
      <c r="CW4244" s="1"/>
      <c r="DC4244" s="19"/>
      <c r="DL4244" s="13"/>
    </row>
    <row r="4245" spans="101:116" ht="12.75" customHeight="1">
      <c r="CW4245" s="1"/>
      <c r="DC4245" s="19"/>
      <c r="DL4245" s="13"/>
    </row>
    <row r="4246" spans="101:116" ht="12.75" customHeight="1">
      <c r="CW4246" s="1"/>
      <c r="DC4246" s="19"/>
      <c r="DL4246" s="13"/>
    </row>
    <row r="4247" spans="101:116" ht="12.75" customHeight="1">
      <c r="CW4247" s="1"/>
      <c r="DC4247" s="19"/>
      <c r="DL4247" s="13"/>
    </row>
    <row r="4248" spans="101:116" ht="12.75" customHeight="1">
      <c r="CW4248" s="1"/>
      <c r="DC4248" s="19"/>
      <c r="DL4248" s="13"/>
    </row>
    <row r="4249" spans="101:116" ht="12.75" customHeight="1">
      <c r="CW4249" s="1"/>
      <c r="DC4249" s="19"/>
      <c r="DL4249" s="13"/>
    </row>
    <row r="4250" spans="101:116" ht="12.75" customHeight="1">
      <c r="CW4250" s="95"/>
      <c r="DC4250" s="19"/>
      <c r="DL4250" s="13"/>
    </row>
    <row r="4251" spans="101:116" ht="12.75" customHeight="1">
      <c r="CW4251" s="1"/>
      <c r="DC4251" s="19"/>
      <c r="DL4251" s="13"/>
    </row>
    <row r="4252" spans="101:116" ht="12.75" customHeight="1">
      <c r="CW4252" s="1"/>
      <c r="DC4252" s="19"/>
      <c r="DL4252" s="13"/>
    </row>
    <row r="4253" spans="101:116" ht="12.75" customHeight="1">
      <c r="CW4253" s="1"/>
      <c r="DC4253" s="19"/>
      <c r="DL4253" s="13"/>
    </row>
    <row r="4254" spans="101:116" ht="12.75" customHeight="1">
      <c r="CW4254" s="1"/>
      <c r="DC4254" s="19"/>
      <c r="DL4254" s="13"/>
    </row>
    <row r="4255" spans="101:116" ht="12.75" customHeight="1">
      <c r="CW4255" s="1"/>
      <c r="DC4255" s="19"/>
      <c r="DL4255" s="13"/>
    </row>
    <row r="4256" spans="101:116" ht="12.75" customHeight="1">
      <c r="CW4256" s="1"/>
      <c r="DC4256" s="19"/>
      <c r="DL4256" s="13"/>
    </row>
    <row r="4257" spans="101:116" ht="12.75" customHeight="1">
      <c r="CW4257" s="1"/>
      <c r="DC4257" s="19"/>
      <c r="DL4257" s="13"/>
    </row>
    <row r="4258" spans="101:116" ht="12.75" customHeight="1">
      <c r="CW4258" s="1"/>
      <c r="DC4258" s="19"/>
      <c r="DL4258" s="13"/>
    </row>
    <row r="4259" spans="101:116" ht="12.75" customHeight="1">
      <c r="CW4259" s="1"/>
      <c r="DC4259" s="19"/>
      <c r="DL4259" s="13"/>
    </row>
    <row r="4260" spans="101:116" ht="12.75" customHeight="1">
      <c r="CW4260" s="1"/>
      <c r="DC4260" s="19"/>
      <c r="DL4260" s="13"/>
    </row>
    <row r="4261" spans="101:116" ht="12.75" customHeight="1">
      <c r="CW4261" s="1"/>
      <c r="DC4261" s="19"/>
      <c r="DL4261" s="13"/>
    </row>
    <row r="4262" spans="101:116" ht="12.75" customHeight="1">
      <c r="CW4262" s="1"/>
      <c r="DC4262" s="19"/>
      <c r="DL4262" s="13"/>
    </row>
    <row r="4263" spans="101:116" ht="12.75" customHeight="1">
      <c r="CW4263" s="1"/>
      <c r="DC4263" s="19"/>
      <c r="DL4263" s="13"/>
    </row>
    <row r="4264" spans="101:116" ht="12.75" customHeight="1">
      <c r="CW4264" s="1"/>
      <c r="DC4264" s="19"/>
      <c r="DL4264" s="13"/>
    </row>
    <row r="4265" spans="101:116" ht="12.75" customHeight="1">
      <c r="CW4265" s="1"/>
      <c r="DC4265" s="19"/>
      <c r="DL4265" s="13"/>
    </row>
    <row r="4266" spans="101:116" ht="12.75" customHeight="1">
      <c r="CW4266" s="1"/>
      <c r="DC4266" s="19"/>
      <c r="DL4266" s="13"/>
    </row>
    <row r="4267" spans="101:116" ht="12.75" customHeight="1">
      <c r="CW4267" s="1"/>
      <c r="DC4267" s="19"/>
      <c r="DL4267" s="13"/>
    </row>
    <row r="4268" spans="101:116" ht="12.75" customHeight="1">
      <c r="DC4268" s="19"/>
      <c r="DL4268" s="13"/>
    </row>
    <row r="4269" spans="101:116" ht="12.75" customHeight="1">
      <c r="DC4269" s="19"/>
      <c r="DL4269" s="13"/>
    </row>
    <row r="4270" spans="101:116" ht="12.75" customHeight="1">
      <c r="DC4270" s="19"/>
      <c r="DL4270" s="13"/>
    </row>
    <row r="4271" spans="101:116" ht="12.75" customHeight="1">
      <c r="DC4271" s="19"/>
      <c r="DL4271" s="13"/>
    </row>
    <row r="4272" spans="101:116" ht="12.75" customHeight="1">
      <c r="DC4272" s="19"/>
      <c r="DL4272" s="13"/>
    </row>
    <row r="4273" spans="107:116" ht="12.75" customHeight="1">
      <c r="DC4273" s="19"/>
      <c r="DL4273" s="13"/>
    </row>
    <row r="4274" spans="107:116" ht="12.75" customHeight="1">
      <c r="DC4274" s="19"/>
      <c r="DL4274" s="13"/>
    </row>
    <row r="4275" spans="107:116" ht="12.75" customHeight="1">
      <c r="DC4275" s="19"/>
      <c r="DL4275" s="13"/>
    </row>
    <row r="4276" spans="107:116" ht="12.75" customHeight="1">
      <c r="DC4276" s="19"/>
      <c r="DL4276" s="13"/>
    </row>
    <row r="4277" spans="107:116" ht="12.75" customHeight="1">
      <c r="DC4277" s="19"/>
      <c r="DL4277" s="13"/>
    </row>
    <row r="4278" spans="107:116" ht="12.75" customHeight="1">
      <c r="DC4278" s="19"/>
      <c r="DL4278" s="13"/>
    </row>
    <row r="4279" spans="107:116" ht="12.75" customHeight="1">
      <c r="DC4279" s="19"/>
      <c r="DL4279" s="13"/>
    </row>
    <row r="4280" spans="107:116" ht="12.75" customHeight="1">
      <c r="DC4280" s="19"/>
      <c r="DL4280" s="13"/>
    </row>
    <row r="4281" spans="107:116" ht="12.75" customHeight="1">
      <c r="DC4281" s="19"/>
      <c r="DL4281" s="13"/>
    </row>
    <row r="4282" spans="107:116" ht="12.75" customHeight="1">
      <c r="DC4282" s="19"/>
      <c r="DL4282" s="13"/>
    </row>
    <row r="4283" spans="107:116" ht="12.75" customHeight="1">
      <c r="DC4283" s="19"/>
      <c r="DL4283" s="13"/>
    </row>
    <row r="4284" spans="107:116" ht="12.75" customHeight="1">
      <c r="DC4284" s="19"/>
      <c r="DL4284" s="13"/>
    </row>
    <row r="4285" spans="107:116" ht="12.75" customHeight="1">
      <c r="DC4285" s="19"/>
      <c r="DL4285" s="13"/>
    </row>
    <row r="4286" spans="107:116" ht="12.75" customHeight="1">
      <c r="DC4286" s="19"/>
      <c r="DL4286" s="13"/>
    </row>
    <row r="4287" spans="107:116" ht="12.75" customHeight="1">
      <c r="DC4287" s="19"/>
      <c r="DL4287" s="13"/>
    </row>
    <row r="4288" spans="107:116" ht="12.75" customHeight="1">
      <c r="DC4288" s="19"/>
      <c r="DL4288" s="13"/>
    </row>
    <row r="4289" spans="107:116" ht="12.75" customHeight="1">
      <c r="DC4289" s="19"/>
      <c r="DL4289" s="13"/>
    </row>
    <row r="4290" spans="107:116" ht="12.75" customHeight="1">
      <c r="DC4290" s="19"/>
      <c r="DL4290" s="13"/>
    </row>
    <row r="4291" spans="107:116" ht="12.75" customHeight="1">
      <c r="DC4291" s="19"/>
      <c r="DL4291" s="13"/>
    </row>
    <row r="4292" spans="107:116" ht="12.75" customHeight="1">
      <c r="DC4292" s="19"/>
      <c r="DL4292" s="13"/>
    </row>
    <row r="4293" spans="107:116" ht="12.75" customHeight="1">
      <c r="DC4293" s="19"/>
      <c r="DL4293" s="13"/>
    </row>
    <row r="4294" spans="107:116" ht="12.75" customHeight="1">
      <c r="DC4294" s="19"/>
      <c r="DL4294" s="13"/>
    </row>
    <row r="4295" spans="107:116" ht="12.75" customHeight="1">
      <c r="DC4295" s="19"/>
      <c r="DL4295" s="13"/>
    </row>
    <row r="4296" spans="107:116" ht="12.75" customHeight="1">
      <c r="DC4296" s="19"/>
      <c r="DL4296" s="13"/>
    </row>
    <row r="4297" spans="107:116" ht="12.75" customHeight="1">
      <c r="DC4297" s="19"/>
      <c r="DL4297" s="13"/>
    </row>
    <row r="4298" spans="107:116" ht="12.75" customHeight="1">
      <c r="DC4298" s="19"/>
      <c r="DL4298" s="13"/>
    </row>
    <row r="4299" spans="107:116" ht="12.75" customHeight="1">
      <c r="DC4299" s="19"/>
      <c r="DL4299" s="13"/>
    </row>
    <row r="4300" spans="107:116" ht="12.75" customHeight="1">
      <c r="DC4300" s="19"/>
      <c r="DL4300" s="13"/>
    </row>
    <row r="4301" spans="107:116" ht="12.75" customHeight="1">
      <c r="DC4301" s="19"/>
      <c r="DL4301" s="13"/>
    </row>
    <row r="4302" spans="107:116" ht="12.75" customHeight="1">
      <c r="DC4302" s="19"/>
      <c r="DL4302" s="13"/>
    </row>
    <row r="4303" spans="107:116" ht="12.75" customHeight="1">
      <c r="DC4303" s="19"/>
      <c r="DL4303" s="13"/>
    </row>
    <row r="4304" spans="107:116" ht="12.75" customHeight="1">
      <c r="DC4304" s="19"/>
      <c r="DL4304" s="13"/>
    </row>
    <row r="4305" spans="107:116" ht="12.75" customHeight="1">
      <c r="DC4305" s="19"/>
      <c r="DL4305" s="13"/>
    </row>
    <row r="4306" spans="107:116" ht="12.75" customHeight="1">
      <c r="DC4306" s="19"/>
      <c r="DL4306" s="13"/>
    </row>
    <row r="4307" spans="107:116" ht="12.75" customHeight="1">
      <c r="DC4307" s="19"/>
      <c r="DL4307" s="13"/>
    </row>
    <row r="4308" spans="107:116" ht="12.75" customHeight="1">
      <c r="DC4308" s="19"/>
      <c r="DL4308" s="13"/>
    </row>
    <row r="4309" spans="107:116" ht="12.75" customHeight="1">
      <c r="DC4309" s="19"/>
      <c r="DL4309" s="13"/>
    </row>
    <row r="4310" spans="107:116" ht="12.75" customHeight="1">
      <c r="DC4310" s="19"/>
      <c r="DL4310" s="13"/>
    </row>
    <row r="4311" spans="107:116" ht="12.75" customHeight="1">
      <c r="DC4311" s="19"/>
      <c r="DL4311" s="13"/>
    </row>
    <row r="4312" spans="107:116" ht="12.75" customHeight="1">
      <c r="DC4312" s="19"/>
      <c r="DL4312" s="13"/>
    </row>
    <row r="4313" spans="107:116" ht="12.75" customHeight="1">
      <c r="DC4313" s="19"/>
      <c r="DL4313" s="13"/>
    </row>
    <row r="4314" spans="107:116" ht="12.75" customHeight="1">
      <c r="DC4314" s="19"/>
      <c r="DL4314" s="13"/>
    </row>
    <row r="4315" spans="107:116" ht="12.75" customHeight="1">
      <c r="DC4315" s="19"/>
      <c r="DL4315" s="13"/>
    </row>
    <row r="4316" spans="107:116" ht="12.75" customHeight="1">
      <c r="DC4316" s="19"/>
      <c r="DL4316" s="13"/>
    </row>
    <row r="4317" spans="107:116" ht="12.75" customHeight="1">
      <c r="DC4317" s="19"/>
      <c r="DL4317" s="13"/>
    </row>
    <row r="4318" spans="107:116" ht="12.75" customHeight="1">
      <c r="DC4318" s="19"/>
      <c r="DL4318" s="13"/>
    </row>
    <row r="4319" spans="107:116" ht="12.75" customHeight="1">
      <c r="DC4319" s="19"/>
      <c r="DL4319" s="13"/>
    </row>
    <row r="4320" spans="107:116" ht="12.75" customHeight="1">
      <c r="DC4320" s="19"/>
      <c r="DL4320" s="13"/>
    </row>
    <row r="4321" spans="107:116" ht="12.75" customHeight="1">
      <c r="DC4321" s="19"/>
      <c r="DL4321" s="13"/>
    </row>
    <row r="4322" spans="107:116" ht="12.75" customHeight="1">
      <c r="DC4322" s="19"/>
      <c r="DL4322" s="13"/>
    </row>
    <row r="4323" spans="107:116" ht="12.75" customHeight="1">
      <c r="DC4323" s="19"/>
      <c r="DL4323" s="13"/>
    </row>
    <row r="4324" spans="107:116" ht="12.75" customHeight="1">
      <c r="DC4324" s="19"/>
      <c r="DL4324" s="13"/>
    </row>
    <row r="4325" spans="107:116" ht="12.75" customHeight="1">
      <c r="DC4325" s="19"/>
      <c r="DL4325" s="13"/>
    </row>
    <row r="4326" spans="107:116" ht="12.75" customHeight="1">
      <c r="DC4326" s="19"/>
      <c r="DL4326" s="13"/>
    </row>
    <row r="4327" spans="107:116" ht="12.75" customHeight="1">
      <c r="DC4327" s="19"/>
      <c r="DL4327" s="13"/>
    </row>
    <row r="4328" spans="107:116" ht="12.75" customHeight="1">
      <c r="DC4328" s="19"/>
      <c r="DL4328" s="13"/>
    </row>
    <row r="4329" spans="107:116" ht="12.75" customHeight="1">
      <c r="DC4329" s="19"/>
      <c r="DL4329" s="13"/>
    </row>
    <row r="4330" spans="107:116" ht="12.75" customHeight="1">
      <c r="DC4330" s="19"/>
      <c r="DL4330" s="13"/>
    </row>
    <row r="4331" spans="107:116" ht="12.75" customHeight="1">
      <c r="DC4331" s="19"/>
      <c r="DL4331" s="13"/>
    </row>
    <row r="4332" spans="107:116" ht="12.75" customHeight="1">
      <c r="DC4332" s="19"/>
      <c r="DL4332" s="13"/>
    </row>
    <row r="4333" spans="107:116" ht="12.75" customHeight="1">
      <c r="DC4333" s="19"/>
      <c r="DL4333" s="13"/>
    </row>
    <row r="4334" spans="107:116" ht="12.75" customHeight="1">
      <c r="DC4334" s="19"/>
      <c r="DL4334" s="13"/>
    </row>
    <row r="4335" spans="107:116" ht="12.75" customHeight="1">
      <c r="DC4335" s="19"/>
      <c r="DL4335" s="13"/>
    </row>
    <row r="4336" spans="107:116" ht="12.75" customHeight="1">
      <c r="DC4336" s="19"/>
      <c r="DL4336" s="13"/>
    </row>
    <row r="4337" spans="107:116" ht="12.75" customHeight="1">
      <c r="DC4337" s="19"/>
      <c r="DL4337" s="13"/>
    </row>
    <row r="4338" spans="107:116" ht="12.75" customHeight="1">
      <c r="DC4338" s="19"/>
      <c r="DL4338" s="13"/>
    </row>
    <row r="4339" spans="107:116" ht="12.75" customHeight="1">
      <c r="DC4339" s="19"/>
      <c r="DL4339" s="13"/>
    </row>
    <row r="4340" spans="107:116" ht="12.75" customHeight="1">
      <c r="DC4340" s="19"/>
      <c r="DL4340" s="13"/>
    </row>
    <row r="4341" spans="107:116" ht="12.75" customHeight="1">
      <c r="DC4341" s="19"/>
      <c r="DL4341" s="13"/>
    </row>
    <row r="4342" spans="107:116" ht="12.75" customHeight="1">
      <c r="DC4342" s="19"/>
      <c r="DL4342" s="13"/>
    </row>
    <row r="4343" spans="107:116" ht="12.75" customHeight="1">
      <c r="DC4343" s="19"/>
      <c r="DL4343" s="13"/>
    </row>
    <row r="4344" spans="107:116" ht="12.75" customHeight="1">
      <c r="DC4344" s="19"/>
      <c r="DL4344" s="13"/>
    </row>
    <row r="4345" spans="107:116" ht="12.75" customHeight="1">
      <c r="DC4345" s="19"/>
      <c r="DL4345" s="13"/>
    </row>
    <row r="4346" spans="107:116" ht="12.75" customHeight="1">
      <c r="DC4346" s="19"/>
      <c r="DL4346" s="13"/>
    </row>
    <row r="4347" spans="107:116" ht="12.75" customHeight="1">
      <c r="DC4347" s="19"/>
      <c r="DL4347" s="13"/>
    </row>
    <row r="4348" spans="107:116" ht="12.75" customHeight="1">
      <c r="DC4348" s="19"/>
      <c r="DL4348" s="13"/>
    </row>
    <row r="4349" spans="107:116" ht="12.75" customHeight="1">
      <c r="DC4349" s="19"/>
      <c r="DL4349" s="13"/>
    </row>
    <row r="4350" spans="107:116" ht="12.75" customHeight="1">
      <c r="DC4350" s="19"/>
      <c r="DL4350" s="13"/>
    </row>
    <row r="4351" spans="107:116" ht="12.75" customHeight="1">
      <c r="DC4351" s="19"/>
      <c r="DL4351" s="13"/>
    </row>
    <row r="4352" spans="107:116" ht="12.75" customHeight="1">
      <c r="DC4352" s="19"/>
      <c r="DL4352" s="13"/>
    </row>
    <row r="4353" spans="107:116" ht="12.75" customHeight="1">
      <c r="DC4353" s="19"/>
      <c r="DL4353" s="13"/>
    </row>
    <row r="4354" spans="107:116" ht="12.75" customHeight="1">
      <c r="DC4354" s="19"/>
      <c r="DL4354" s="13"/>
    </row>
    <row r="4355" spans="107:116" ht="12.75" customHeight="1">
      <c r="DC4355" s="19"/>
      <c r="DL4355" s="13"/>
    </row>
    <row r="4356" spans="107:116" ht="12.75" customHeight="1">
      <c r="DC4356" s="19"/>
      <c r="DL4356" s="13"/>
    </row>
    <row r="4357" spans="107:116" ht="12.75" customHeight="1">
      <c r="DC4357" s="19"/>
      <c r="DL4357" s="13"/>
    </row>
    <row r="4358" spans="107:116" ht="12.75" customHeight="1">
      <c r="DC4358" s="19"/>
      <c r="DL4358" s="13"/>
    </row>
    <row r="4359" spans="107:116" ht="12.75" customHeight="1">
      <c r="DC4359" s="19"/>
      <c r="DL4359" s="13"/>
    </row>
    <row r="4360" spans="107:116" ht="12.75" customHeight="1">
      <c r="DC4360" s="19"/>
      <c r="DL4360" s="13"/>
    </row>
    <row r="4361" spans="107:116" ht="12.75" customHeight="1">
      <c r="DC4361" s="19"/>
      <c r="DL4361" s="13"/>
    </row>
    <row r="4362" spans="107:116" ht="12.75" customHeight="1">
      <c r="DC4362" s="19"/>
      <c r="DL4362" s="13"/>
    </row>
    <row r="4363" spans="107:116" ht="12.75" customHeight="1">
      <c r="DC4363" s="19"/>
      <c r="DL4363" s="13"/>
    </row>
    <row r="4364" spans="107:116" ht="12.75" customHeight="1">
      <c r="DC4364" s="19"/>
      <c r="DL4364" s="13"/>
    </row>
    <row r="4365" spans="107:116" ht="12.75" customHeight="1">
      <c r="DC4365" s="19"/>
      <c r="DL4365" s="13"/>
    </row>
    <row r="4366" spans="107:116" ht="12.75" customHeight="1">
      <c r="DC4366" s="19"/>
      <c r="DL4366" s="13"/>
    </row>
    <row r="4367" spans="107:116" ht="12.75" customHeight="1">
      <c r="DC4367" s="19"/>
      <c r="DL4367" s="13"/>
    </row>
    <row r="4368" spans="107:116" ht="12.75" customHeight="1">
      <c r="DC4368" s="19"/>
      <c r="DL4368" s="13"/>
    </row>
    <row r="4369" spans="107:116" ht="12.75" customHeight="1">
      <c r="DC4369" s="19"/>
      <c r="DL4369" s="13"/>
    </row>
    <row r="4370" spans="107:116" ht="12.75" customHeight="1">
      <c r="DC4370" s="19"/>
      <c r="DL4370" s="13"/>
    </row>
    <row r="4371" spans="107:116" ht="12.75" customHeight="1">
      <c r="DC4371" s="19"/>
      <c r="DL4371" s="13"/>
    </row>
    <row r="4372" spans="107:116" ht="12.75" customHeight="1">
      <c r="DC4372" s="19"/>
      <c r="DL4372" s="13"/>
    </row>
    <row r="4373" spans="107:116" ht="12.75" customHeight="1">
      <c r="DC4373" s="19"/>
      <c r="DL4373" s="13"/>
    </row>
    <row r="4374" spans="107:116" ht="12.75" customHeight="1">
      <c r="DC4374" s="19"/>
      <c r="DL4374" s="13"/>
    </row>
    <row r="4375" spans="107:116" ht="12.75" customHeight="1">
      <c r="DC4375" s="19"/>
      <c r="DL4375" s="13"/>
    </row>
    <row r="4376" spans="107:116" ht="12.75" customHeight="1">
      <c r="DC4376" s="19"/>
      <c r="DL4376" s="13"/>
    </row>
    <row r="4377" spans="107:116" ht="12.75" customHeight="1">
      <c r="DC4377" s="19"/>
      <c r="DL4377" s="13"/>
    </row>
    <row r="4378" spans="107:116" ht="12.75" customHeight="1">
      <c r="DC4378" s="19"/>
      <c r="DL4378" s="13"/>
    </row>
    <row r="4379" spans="107:116" ht="12.75" customHeight="1">
      <c r="DC4379" s="19"/>
      <c r="DL4379" s="13"/>
    </row>
    <row r="4380" spans="107:116" ht="12.75" customHeight="1">
      <c r="DC4380" s="19"/>
      <c r="DL4380" s="13"/>
    </row>
    <row r="4381" spans="107:116" ht="12.75" customHeight="1">
      <c r="DC4381" s="19"/>
      <c r="DL4381" s="13"/>
    </row>
    <row r="4382" spans="107:116" ht="12.75" customHeight="1">
      <c r="DC4382" s="19"/>
      <c r="DL4382" s="13"/>
    </row>
    <row r="4383" spans="107:116" ht="12.75" customHeight="1">
      <c r="DC4383" s="19"/>
      <c r="DL4383" s="13"/>
    </row>
    <row r="4384" spans="107:116" ht="12.75" customHeight="1">
      <c r="DC4384" s="19"/>
      <c r="DL4384" s="13"/>
    </row>
    <row r="4385" spans="107:116" ht="12.75" customHeight="1">
      <c r="DC4385" s="19"/>
      <c r="DL4385" s="13"/>
    </row>
    <row r="4386" spans="107:116" ht="12.75" customHeight="1">
      <c r="DC4386" s="19"/>
      <c r="DL4386" s="13"/>
    </row>
    <row r="4387" spans="107:116" ht="12.75" customHeight="1">
      <c r="DC4387" s="19"/>
      <c r="DL4387" s="13"/>
    </row>
    <row r="4388" spans="107:116" ht="12.75" customHeight="1">
      <c r="DC4388" s="19"/>
      <c r="DL4388" s="13"/>
    </row>
    <row r="4389" spans="107:116" ht="12.75" customHeight="1">
      <c r="DC4389" s="19"/>
      <c r="DL4389" s="13"/>
    </row>
    <row r="4390" spans="107:116" ht="12.75" customHeight="1">
      <c r="DC4390" s="19"/>
      <c r="DL4390" s="13"/>
    </row>
    <row r="4391" spans="107:116" ht="12.75" customHeight="1">
      <c r="DC4391" s="19"/>
      <c r="DL4391" s="13"/>
    </row>
    <row r="4392" spans="107:116" ht="12.75" customHeight="1">
      <c r="DC4392" s="19"/>
      <c r="DL4392" s="13"/>
    </row>
    <row r="4393" spans="107:116" ht="12.75" customHeight="1">
      <c r="DC4393" s="19"/>
      <c r="DL4393" s="13"/>
    </row>
    <row r="4394" spans="107:116" ht="12.75" customHeight="1">
      <c r="DC4394" s="19"/>
      <c r="DL4394" s="13"/>
    </row>
    <row r="4395" spans="107:116" ht="12.75" customHeight="1">
      <c r="DC4395" s="19"/>
      <c r="DL4395" s="13"/>
    </row>
    <row r="4396" spans="107:116" ht="12.75" customHeight="1">
      <c r="DC4396" s="19"/>
      <c r="DL4396" s="13"/>
    </row>
    <row r="4397" spans="107:116" ht="12.75" customHeight="1">
      <c r="DC4397" s="19"/>
      <c r="DL4397" s="13"/>
    </row>
    <row r="4398" spans="107:116" ht="12.75" customHeight="1">
      <c r="DC4398" s="19"/>
      <c r="DL4398" s="13"/>
    </row>
    <row r="4399" spans="107:116" ht="12.75" customHeight="1">
      <c r="DC4399" s="19"/>
      <c r="DL4399" s="13"/>
    </row>
    <row r="4400" spans="107:116" ht="12.75" customHeight="1">
      <c r="DC4400" s="19"/>
      <c r="DL4400" s="13"/>
    </row>
    <row r="4401" spans="107:116" ht="12.75" customHeight="1">
      <c r="DC4401" s="19"/>
      <c r="DL4401" s="13"/>
    </row>
    <row r="4402" spans="107:116" ht="12.75" customHeight="1">
      <c r="DC4402" s="19"/>
      <c r="DL4402" s="13"/>
    </row>
    <row r="4403" spans="107:116" ht="12.75" customHeight="1">
      <c r="DC4403" s="19"/>
      <c r="DL4403" s="13"/>
    </row>
    <row r="4404" spans="107:116" ht="12.75" customHeight="1">
      <c r="DC4404" s="19"/>
      <c r="DL4404" s="13"/>
    </row>
    <row r="4405" spans="107:116" ht="12.75" customHeight="1">
      <c r="DC4405" s="19"/>
      <c r="DL4405" s="13"/>
    </row>
    <row r="4406" spans="107:116" ht="12.75" customHeight="1">
      <c r="DC4406" s="19"/>
      <c r="DL4406" s="13"/>
    </row>
    <row r="4407" spans="107:116" ht="12.75" customHeight="1">
      <c r="DC4407" s="19"/>
      <c r="DL4407" s="13"/>
    </row>
    <row r="4408" spans="107:116" ht="12.75" customHeight="1">
      <c r="DC4408" s="19"/>
      <c r="DL4408" s="13"/>
    </row>
    <row r="4409" spans="107:116" ht="12.75" customHeight="1">
      <c r="DC4409" s="19"/>
      <c r="DL4409" s="13"/>
    </row>
    <row r="4410" spans="107:116" ht="12.75" customHeight="1">
      <c r="DC4410" s="19"/>
      <c r="DL4410" s="13"/>
    </row>
    <row r="4411" spans="107:116" ht="12.75" customHeight="1">
      <c r="DC4411" s="19"/>
      <c r="DL4411" s="13"/>
    </row>
    <row r="4412" spans="107:116" ht="12.75" customHeight="1">
      <c r="DC4412" s="19"/>
      <c r="DL4412" s="13"/>
    </row>
    <row r="4413" spans="107:116" ht="12.75" customHeight="1">
      <c r="DC4413" s="19"/>
      <c r="DL4413" s="13"/>
    </row>
    <row r="4414" spans="107:116" ht="12.75" customHeight="1">
      <c r="DC4414" s="19"/>
      <c r="DL4414" s="13"/>
    </row>
    <row r="4415" spans="107:116" ht="12.75" customHeight="1">
      <c r="DC4415" s="19"/>
      <c r="DL4415" s="13"/>
    </row>
    <row r="4416" spans="107:116" ht="12.75" customHeight="1">
      <c r="DC4416" s="19"/>
      <c r="DL4416" s="13"/>
    </row>
    <row r="4417" spans="107:116" ht="12.75" customHeight="1">
      <c r="DC4417" s="19"/>
      <c r="DL4417" s="13"/>
    </row>
    <row r="4418" spans="107:116" ht="12.75" customHeight="1">
      <c r="DC4418" s="19"/>
      <c r="DL4418" s="13"/>
    </row>
    <row r="4419" spans="107:116" ht="12.75" customHeight="1">
      <c r="DC4419" s="19"/>
      <c r="DL4419" s="13"/>
    </row>
    <row r="4420" spans="107:116" ht="12.75" customHeight="1">
      <c r="DC4420" s="19"/>
      <c r="DL4420" s="13"/>
    </row>
    <row r="4421" spans="107:116" ht="12.75" customHeight="1">
      <c r="DC4421" s="19"/>
      <c r="DL4421" s="13"/>
    </row>
    <row r="4422" spans="107:116" ht="12.75" customHeight="1">
      <c r="DC4422" s="19"/>
      <c r="DL4422" s="13"/>
    </row>
    <row r="4423" spans="107:116" ht="12.75" customHeight="1">
      <c r="DC4423" s="19"/>
      <c r="DL4423" s="13"/>
    </row>
    <row r="4424" spans="107:116" ht="12.75" customHeight="1">
      <c r="DC4424" s="19"/>
      <c r="DL4424" s="13"/>
    </row>
    <row r="4425" spans="107:116" ht="12.75" customHeight="1">
      <c r="DC4425" s="19"/>
      <c r="DL4425" s="13"/>
    </row>
    <row r="4426" spans="107:116" ht="12.75" customHeight="1">
      <c r="DC4426" s="19"/>
      <c r="DL4426" s="13"/>
    </row>
    <row r="4427" spans="107:116" ht="12.75" customHeight="1">
      <c r="DC4427" s="19"/>
      <c r="DL4427" s="13"/>
    </row>
    <row r="4428" spans="107:116" ht="12.75" customHeight="1">
      <c r="DC4428" s="19"/>
      <c r="DL4428" s="13"/>
    </row>
    <row r="4429" spans="107:116" ht="12.75" customHeight="1">
      <c r="DC4429" s="19"/>
      <c r="DL4429" s="13"/>
    </row>
    <row r="4430" spans="107:116" ht="12.75" customHeight="1">
      <c r="DC4430" s="19"/>
      <c r="DL4430" s="13"/>
    </row>
    <row r="4431" spans="107:116" ht="12.75" customHeight="1">
      <c r="DC4431" s="19"/>
      <c r="DL4431" s="13"/>
    </row>
    <row r="4432" spans="107:116" ht="12.75" customHeight="1">
      <c r="DC4432" s="19"/>
      <c r="DL4432" s="13"/>
    </row>
    <row r="4433" spans="107:116" ht="12.75" customHeight="1">
      <c r="DC4433" s="19"/>
      <c r="DL4433" s="13"/>
    </row>
    <row r="4434" spans="107:116" ht="12.75" customHeight="1">
      <c r="DC4434" s="19"/>
      <c r="DL4434" s="13"/>
    </row>
    <row r="4435" spans="107:116" ht="12.75" customHeight="1">
      <c r="DC4435" s="19"/>
      <c r="DL4435" s="13"/>
    </row>
    <row r="4436" spans="107:116" ht="12.75" customHeight="1">
      <c r="DC4436" s="19"/>
      <c r="DL4436" s="13"/>
    </row>
    <row r="4437" spans="107:116" ht="12.75" customHeight="1">
      <c r="DC4437" s="19"/>
      <c r="DL4437" s="13"/>
    </row>
    <row r="4438" spans="107:116" ht="12.75" customHeight="1">
      <c r="DC4438" s="19"/>
      <c r="DL4438" s="13"/>
    </row>
    <row r="4439" spans="107:116" ht="12.75" customHeight="1">
      <c r="DC4439" s="19"/>
      <c r="DL4439" s="13"/>
    </row>
    <row r="4440" spans="107:116" ht="12.75" customHeight="1">
      <c r="DC4440" s="19"/>
      <c r="DL4440" s="13"/>
    </row>
    <row r="4441" spans="107:116" ht="12.75" customHeight="1">
      <c r="DC4441" s="19"/>
      <c r="DL4441" s="13"/>
    </row>
    <row r="4442" spans="107:116" ht="12.75" customHeight="1">
      <c r="DC4442" s="19"/>
      <c r="DL4442" s="13"/>
    </row>
    <row r="4443" spans="107:116" ht="12.75" customHeight="1">
      <c r="DC4443" s="19"/>
      <c r="DL4443" s="13"/>
    </row>
    <row r="4444" spans="107:116" ht="12.75" customHeight="1">
      <c r="DC4444" s="19"/>
      <c r="DL4444" s="13"/>
    </row>
    <row r="4445" spans="107:116" ht="12.75" customHeight="1">
      <c r="DC4445" s="19"/>
      <c r="DL4445" s="13"/>
    </row>
    <row r="4446" spans="107:116" ht="12.75" customHeight="1">
      <c r="DC4446" s="19"/>
      <c r="DL4446" s="13"/>
    </row>
    <row r="4447" spans="107:116" ht="12.75" customHeight="1">
      <c r="DC4447" s="19"/>
      <c r="DL4447" s="13"/>
    </row>
    <row r="4448" spans="107:116" ht="12.75" customHeight="1">
      <c r="DC4448" s="19"/>
      <c r="DL4448" s="13"/>
    </row>
    <row r="4449" spans="107:116" ht="12.75" customHeight="1">
      <c r="DC4449" s="19"/>
      <c r="DL4449" s="13"/>
    </row>
    <row r="4450" spans="107:116" ht="12.75" customHeight="1">
      <c r="DC4450" s="19"/>
      <c r="DL4450" s="13"/>
    </row>
    <row r="4451" spans="107:116" ht="12.75" customHeight="1">
      <c r="DC4451" s="19"/>
      <c r="DL4451" s="13"/>
    </row>
    <row r="4452" spans="107:116" ht="12.75" customHeight="1">
      <c r="DC4452" s="19"/>
      <c r="DL4452" s="13"/>
    </row>
    <row r="4453" spans="107:116" ht="12.75" customHeight="1">
      <c r="DC4453" s="19"/>
      <c r="DL4453" s="13"/>
    </row>
    <row r="4454" spans="107:116" ht="12.75" customHeight="1">
      <c r="DC4454" s="19"/>
      <c r="DL4454" s="13"/>
    </row>
    <row r="4455" spans="107:116" ht="12.75" customHeight="1">
      <c r="DC4455" s="19"/>
      <c r="DL4455" s="13"/>
    </row>
    <row r="4456" spans="107:116" ht="12.75" customHeight="1">
      <c r="DC4456" s="19"/>
      <c r="DL4456" s="13"/>
    </row>
    <row r="4457" spans="107:116" ht="12.75" customHeight="1">
      <c r="DC4457" s="19"/>
      <c r="DL4457" s="13"/>
    </row>
    <row r="4458" spans="107:116" ht="12.75" customHeight="1">
      <c r="DC4458" s="19"/>
      <c r="DL4458" s="13"/>
    </row>
    <row r="4459" spans="107:116" ht="12.75" customHeight="1">
      <c r="DC4459" s="19"/>
      <c r="DL4459" s="13"/>
    </row>
    <row r="4460" spans="107:116" ht="12.75" customHeight="1">
      <c r="DC4460" s="19"/>
      <c r="DL4460" s="13"/>
    </row>
    <row r="4461" spans="107:116" ht="12.75" customHeight="1">
      <c r="DC4461" s="19"/>
      <c r="DL4461" s="13"/>
    </row>
    <row r="4462" spans="107:116" ht="12.75" customHeight="1">
      <c r="DC4462" s="19"/>
      <c r="DL4462" s="13"/>
    </row>
    <row r="4463" spans="107:116" ht="12.75" customHeight="1">
      <c r="DC4463" s="19"/>
      <c r="DL4463" s="13"/>
    </row>
    <row r="4464" spans="107:116" ht="12.75" customHeight="1">
      <c r="DC4464" s="19"/>
      <c r="DL4464" s="13"/>
    </row>
    <row r="4465" spans="107:116" ht="12.75" customHeight="1">
      <c r="DC4465" s="19"/>
      <c r="DL4465" s="13"/>
    </row>
    <row r="4466" spans="107:116" ht="12.75" customHeight="1">
      <c r="DC4466" s="19"/>
      <c r="DL4466" s="13"/>
    </row>
    <row r="4467" spans="107:116" ht="12.75" customHeight="1">
      <c r="DC4467" s="19"/>
      <c r="DL4467" s="13"/>
    </row>
    <row r="4468" spans="107:116" ht="12.75" customHeight="1">
      <c r="DC4468" s="19"/>
      <c r="DL4468" s="13"/>
    </row>
    <row r="4469" spans="107:116" ht="12.75" customHeight="1">
      <c r="DC4469" s="19"/>
      <c r="DL4469" s="13"/>
    </row>
    <row r="4470" spans="107:116" ht="12.75" customHeight="1">
      <c r="DC4470" s="19"/>
      <c r="DL4470" s="13"/>
    </row>
    <row r="4471" spans="107:116" ht="12.75" customHeight="1">
      <c r="DC4471" s="19"/>
      <c r="DL4471" s="13"/>
    </row>
    <row r="4472" spans="107:116" ht="12.75" customHeight="1">
      <c r="DC4472" s="19"/>
      <c r="DL4472" s="13"/>
    </row>
    <row r="4473" spans="107:116" ht="12.75" customHeight="1">
      <c r="DC4473" s="19"/>
      <c r="DL4473" s="13"/>
    </row>
    <row r="4474" spans="107:116" ht="12.75" customHeight="1">
      <c r="DC4474" s="19"/>
      <c r="DL4474" s="13"/>
    </row>
    <row r="4475" spans="107:116" ht="12.75" customHeight="1">
      <c r="DC4475" s="19"/>
      <c r="DL4475" s="13"/>
    </row>
    <row r="4476" spans="107:116" ht="12.75" customHeight="1">
      <c r="DC4476" s="19"/>
      <c r="DL4476" s="13"/>
    </row>
    <row r="4477" spans="107:116" ht="12.75" customHeight="1">
      <c r="DC4477" s="19"/>
      <c r="DL4477" s="13"/>
    </row>
    <row r="4478" spans="107:116" ht="12.75" customHeight="1">
      <c r="DC4478" s="19"/>
      <c r="DL4478" s="13"/>
    </row>
    <row r="4479" spans="107:116" ht="12.75" customHeight="1">
      <c r="DC4479" s="19"/>
      <c r="DL4479" s="13"/>
    </row>
    <row r="4480" spans="107:116" ht="12.75" customHeight="1">
      <c r="DC4480" s="19"/>
      <c r="DL4480" s="13"/>
    </row>
    <row r="4481" spans="101:116" ht="12.75" customHeight="1">
      <c r="DC4481" s="19"/>
      <c r="DL4481" s="13"/>
    </row>
    <row r="4482" spans="101:116" ht="12.75" customHeight="1">
      <c r="DC4482" s="19"/>
      <c r="DL4482" s="13"/>
    </row>
    <row r="4483" spans="101:116" ht="12.75" customHeight="1">
      <c r="DC4483" s="19"/>
      <c r="DL4483" s="13"/>
    </row>
    <row r="4484" spans="101:116" ht="12.75" customHeight="1">
      <c r="DC4484" s="19"/>
      <c r="DL4484" s="13"/>
    </row>
    <row r="4485" spans="101:116" ht="12.75" customHeight="1">
      <c r="DC4485" s="19"/>
      <c r="DL4485" s="13"/>
    </row>
    <row r="4486" spans="101:116" ht="12.75" customHeight="1">
      <c r="DC4486" s="19"/>
      <c r="DL4486" s="13"/>
    </row>
    <row r="4487" spans="101:116" ht="12.75" customHeight="1">
      <c r="DC4487" s="19"/>
      <c r="DL4487" s="13"/>
    </row>
    <row r="4488" spans="101:116" ht="12.75" customHeight="1">
      <c r="DC4488" s="19"/>
      <c r="DL4488" s="13"/>
    </row>
    <row r="4489" spans="101:116" ht="12.75" customHeight="1">
      <c r="DC4489" s="19"/>
      <c r="DL4489" s="13"/>
    </row>
    <row r="4490" spans="101:116" ht="12.75" customHeight="1">
      <c r="DC4490" s="19"/>
      <c r="DL4490" s="13"/>
    </row>
    <row r="4491" spans="101:116" ht="12.75" customHeight="1">
      <c r="DC4491" s="19"/>
      <c r="DL4491" s="13"/>
    </row>
    <row r="4492" spans="101:116" ht="12.75" customHeight="1">
      <c r="DC4492" s="19"/>
      <c r="DL4492" s="13"/>
    </row>
    <row r="4493" spans="101:116" ht="12.75" customHeight="1">
      <c r="DC4493" s="19"/>
      <c r="DL4493" s="13"/>
    </row>
    <row r="4494" spans="101:116" ht="12.75" customHeight="1">
      <c r="DC4494" s="19"/>
      <c r="DL4494" s="13"/>
    </row>
    <row r="4495" spans="101:116" ht="12.75" customHeight="1">
      <c r="CW4495" s="1"/>
      <c r="CX4495" s="1"/>
      <c r="DC4495" s="19"/>
      <c r="DL4495" s="13"/>
    </row>
    <row r="4496" spans="101:116" ht="12.75" customHeight="1">
      <c r="CW4496" s="1"/>
      <c r="CX4496" s="1"/>
      <c r="DC4496" s="19"/>
      <c r="DL4496" s="13"/>
    </row>
    <row r="4497" spans="101:116" ht="12.75" customHeight="1">
      <c r="CW4497" s="1"/>
      <c r="CX4497" s="1"/>
      <c r="DC4497" s="19"/>
      <c r="DL4497" s="13"/>
    </row>
    <row r="4498" spans="101:116" ht="12.75" customHeight="1">
      <c r="CW4498" s="1"/>
      <c r="CX4498" s="1"/>
      <c r="DC4498" s="19"/>
      <c r="DL4498" s="13"/>
    </row>
    <row r="4499" spans="101:116" ht="12.75" customHeight="1">
      <c r="CW4499" s="1"/>
      <c r="CX4499" s="1"/>
      <c r="DC4499" s="19"/>
      <c r="DL4499" s="13"/>
    </row>
    <row r="4500" spans="101:116" ht="12.75" customHeight="1">
      <c r="CW4500" s="1"/>
      <c r="CX4500" s="1"/>
      <c r="DC4500" s="19"/>
      <c r="DL4500" s="13"/>
    </row>
    <row r="4501" spans="101:116" ht="12.75" customHeight="1">
      <c r="CW4501" s="1"/>
      <c r="CX4501" s="1"/>
      <c r="DC4501" s="19"/>
      <c r="DL4501" s="13"/>
    </row>
    <row r="4502" spans="101:116" ht="12.75" customHeight="1">
      <c r="CW4502" s="1"/>
      <c r="CX4502" s="1"/>
      <c r="DC4502" s="19"/>
      <c r="DL4502" s="13"/>
    </row>
    <row r="4503" spans="101:116" ht="12.75" customHeight="1">
      <c r="CW4503" s="1"/>
      <c r="CX4503" s="1"/>
      <c r="DC4503" s="19"/>
      <c r="DL4503" s="13"/>
    </row>
    <row r="4504" spans="101:116" ht="12.75" customHeight="1">
      <c r="CW4504" s="1"/>
      <c r="CX4504" s="1"/>
      <c r="DC4504" s="19"/>
      <c r="DL4504" s="13"/>
    </row>
    <row r="4505" spans="101:116" ht="12.75" customHeight="1">
      <c r="CW4505" s="1"/>
      <c r="CX4505" s="1"/>
      <c r="DC4505" s="19"/>
      <c r="DL4505" s="13"/>
    </row>
    <row r="4506" spans="101:116" ht="12.75" customHeight="1">
      <c r="CW4506" s="95"/>
      <c r="CX4506" s="95"/>
      <c r="DC4506" s="19"/>
      <c r="DL4506" s="13"/>
    </row>
    <row r="4507" spans="101:116" ht="12.75" customHeight="1">
      <c r="CW4507" s="95"/>
      <c r="CX4507" s="95"/>
      <c r="DC4507" s="19"/>
      <c r="DL4507" s="13"/>
    </row>
    <row r="4508" spans="101:116" ht="12.75" customHeight="1">
      <c r="CW4508" s="1"/>
      <c r="CX4508" s="1"/>
      <c r="DC4508" s="19"/>
      <c r="DL4508" s="13"/>
    </row>
    <row r="4509" spans="101:116" ht="12.75" customHeight="1">
      <c r="CW4509" s="1"/>
      <c r="CX4509" s="1"/>
      <c r="DC4509" s="19"/>
      <c r="DL4509" s="13"/>
    </row>
    <row r="4510" spans="101:116" ht="12.75" customHeight="1">
      <c r="CW4510" s="1"/>
      <c r="CX4510" s="1"/>
      <c r="DC4510" s="19"/>
      <c r="DL4510" s="13"/>
    </row>
    <row r="4511" spans="101:116" ht="12.75" customHeight="1">
      <c r="CW4511" s="1"/>
      <c r="CX4511" s="1"/>
      <c r="DC4511" s="19"/>
      <c r="DL4511" s="13"/>
    </row>
    <row r="4512" spans="101:116" ht="12.75" customHeight="1">
      <c r="CW4512" s="1"/>
      <c r="CX4512" s="1"/>
      <c r="DC4512" s="19"/>
      <c r="DL4512" s="13"/>
    </row>
    <row r="4513" spans="101:116" ht="12.75" customHeight="1">
      <c r="CW4513" s="1"/>
      <c r="CX4513" s="1"/>
      <c r="DC4513" s="19"/>
      <c r="DL4513" s="13"/>
    </row>
    <row r="4514" spans="101:116" ht="12.75" customHeight="1">
      <c r="CW4514" s="1"/>
      <c r="CX4514" s="1"/>
      <c r="DC4514" s="19"/>
      <c r="DL4514" s="13"/>
    </row>
    <row r="4515" spans="101:116" ht="12.75" customHeight="1">
      <c r="CW4515" s="1"/>
      <c r="CX4515" s="1"/>
      <c r="DC4515" s="19"/>
      <c r="DL4515" s="13"/>
    </row>
    <row r="4516" spans="101:116" ht="12.75" customHeight="1">
      <c r="CW4516" s="1"/>
      <c r="CX4516" s="1"/>
      <c r="DC4516" s="19"/>
      <c r="DL4516" s="13"/>
    </row>
    <row r="4517" spans="101:116" ht="12.75" customHeight="1">
      <c r="CW4517" s="1"/>
      <c r="CX4517" s="1"/>
      <c r="DC4517" s="19"/>
      <c r="DL4517" s="13"/>
    </row>
    <row r="4518" spans="101:116" ht="12.75" customHeight="1">
      <c r="CW4518" s="1"/>
      <c r="CX4518" s="1"/>
      <c r="DC4518" s="19"/>
      <c r="DL4518" s="13"/>
    </row>
    <row r="4519" spans="101:116" ht="12.75" customHeight="1">
      <c r="CW4519" s="1"/>
      <c r="CX4519" s="1"/>
      <c r="DC4519" s="19"/>
      <c r="DL4519" s="13"/>
    </row>
    <row r="4520" spans="101:116" ht="12.75" customHeight="1">
      <c r="CW4520" s="1"/>
      <c r="CX4520" s="1"/>
      <c r="DC4520" s="19"/>
      <c r="DL4520" s="13"/>
    </row>
    <row r="4521" spans="101:116" ht="12.75" customHeight="1">
      <c r="CW4521" s="1"/>
      <c r="CX4521" s="1"/>
      <c r="DC4521" s="19"/>
      <c r="DL4521" s="13"/>
    </row>
    <row r="4522" spans="101:116" ht="12.75" customHeight="1">
      <c r="CW4522" s="1"/>
      <c r="CX4522" s="1"/>
      <c r="DC4522" s="19"/>
      <c r="DL4522" s="13"/>
    </row>
    <row r="4523" spans="101:116" ht="12.75" customHeight="1">
      <c r="CW4523" s="1"/>
      <c r="CX4523" s="1"/>
      <c r="DC4523" s="19"/>
      <c r="DL4523" s="13"/>
    </row>
    <row r="4524" spans="101:116" ht="12.75" customHeight="1">
      <c r="CW4524" s="1"/>
      <c r="CX4524" s="1"/>
      <c r="DC4524" s="19"/>
      <c r="DL4524" s="13"/>
    </row>
    <row r="4525" spans="101:116" ht="12.75" customHeight="1">
      <c r="DC4525" s="19"/>
      <c r="DL4525" s="13"/>
    </row>
    <row r="4526" spans="101:116" ht="12.75" customHeight="1">
      <c r="DC4526" s="19"/>
      <c r="DL4526" s="13"/>
    </row>
    <row r="4527" spans="101:116" ht="12.75" customHeight="1">
      <c r="DC4527" s="19"/>
      <c r="DL4527" s="13"/>
    </row>
    <row r="4528" spans="101:116" ht="12.75" customHeight="1">
      <c r="DC4528" s="19"/>
      <c r="DL4528" s="13"/>
    </row>
    <row r="4529" spans="107:116" ht="12.75" customHeight="1">
      <c r="DC4529" s="19"/>
      <c r="DL4529" s="13"/>
    </row>
    <row r="4530" spans="107:116" ht="12.75" customHeight="1">
      <c r="DC4530" s="19"/>
      <c r="DL4530" s="13"/>
    </row>
    <row r="4531" spans="107:116" ht="12.75" customHeight="1">
      <c r="DC4531" s="19"/>
      <c r="DL4531" s="13"/>
    </row>
    <row r="4532" spans="107:116" ht="12.75" customHeight="1">
      <c r="DC4532" s="19"/>
      <c r="DL4532" s="13"/>
    </row>
    <row r="4533" spans="107:116" ht="12.75" customHeight="1">
      <c r="DC4533" s="19"/>
      <c r="DL4533" s="13"/>
    </row>
    <row r="4534" spans="107:116" ht="12.75" customHeight="1">
      <c r="DC4534" s="19"/>
      <c r="DL4534" s="13"/>
    </row>
    <row r="4535" spans="107:116" ht="12.75" customHeight="1">
      <c r="DC4535" s="19"/>
      <c r="DL4535" s="13"/>
    </row>
    <row r="4536" spans="107:116" ht="12.75" customHeight="1">
      <c r="DC4536" s="19"/>
      <c r="DL4536" s="13"/>
    </row>
    <row r="4537" spans="107:116" ht="12.75" customHeight="1">
      <c r="DC4537" s="19"/>
      <c r="DL4537" s="13"/>
    </row>
    <row r="4538" spans="107:116" ht="12.75" customHeight="1">
      <c r="DC4538" s="19"/>
      <c r="DL4538" s="13"/>
    </row>
    <row r="4539" spans="107:116" ht="12.75" customHeight="1">
      <c r="DC4539" s="19"/>
      <c r="DL4539" s="13"/>
    </row>
    <row r="4540" spans="107:116" ht="12.75" customHeight="1">
      <c r="DC4540" s="19"/>
      <c r="DL4540" s="13"/>
    </row>
    <row r="4541" spans="107:116" ht="12.75" customHeight="1">
      <c r="DC4541" s="19"/>
      <c r="DL4541" s="13"/>
    </row>
    <row r="4542" spans="107:116" ht="12.75" customHeight="1">
      <c r="DC4542" s="19"/>
      <c r="DL4542" s="13"/>
    </row>
    <row r="4543" spans="107:116" ht="12.75" customHeight="1">
      <c r="DC4543" s="19"/>
      <c r="DL4543" s="13"/>
    </row>
    <row r="4544" spans="107:116" ht="12.75" customHeight="1">
      <c r="DC4544" s="19"/>
      <c r="DL4544" s="13"/>
    </row>
    <row r="4545" spans="107:116" ht="12.75" customHeight="1">
      <c r="DC4545" s="19"/>
      <c r="DL4545" s="13"/>
    </row>
    <row r="4546" spans="107:116" ht="12.75" customHeight="1">
      <c r="DC4546" s="19"/>
      <c r="DL4546" s="13"/>
    </row>
    <row r="4547" spans="107:116" ht="12.75" customHeight="1">
      <c r="DC4547" s="19"/>
      <c r="DL4547" s="13"/>
    </row>
    <row r="4548" spans="107:116" ht="12.75" customHeight="1">
      <c r="DC4548" s="19"/>
      <c r="DL4548" s="13"/>
    </row>
    <row r="4549" spans="107:116" ht="12.75" customHeight="1">
      <c r="DC4549" s="19"/>
      <c r="DL4549" s="13"/>
    </row>
    <row r="4550" spans="107:116" ht="12.75" customHeight="1">
      <c r="DC4550" s="19"/>
      <c r="DL4550" s="13"/>
    </row>
    <row r="4551" spans="107:116" ht="12.75" customHeight="1">
      <c r="DC4551" s="19"/>
      <c r="DL4551" s="13"/>
    </row>
    <row r="4552" spans="107:116" ht="12.75" customHeight="1">
      <c r="DC4552" s="19"/>
      <c r="DL4552" s="13"/>
    </row>
    <row r="4553" spans="107:116" ht="12.75" customHeight="1">
      <c r="DC4553" s="19"/>
      <c r="DL4553" s="13"/>
    </row>
    <row r="4554" spans="107:116" ht="12.75" customHeight="1">
      <c r="DC4554" s="19"/>
      <c r="DL4554" s="13"/>
    </row>
    <row r="4555" spans="107:116" ht="12.75" customHeight="1">
      <c r="DC4555" s="19"/>
      <c r="DL4555" s="13"/>
    </row>
    <row r="4556" spans="107:116" ht="12.75" customHeight="1">
      <c r="DC4556" s="19"/>
      <c r="DL4556" s="13"/>
    </row>
    <row r="4557" spans="107:116" ht="12.75" customHeight="1">
      <c r="DC4557" s="19"/>
      <c r="DL4557" s="13"/>
    </row>
    <row r="4558" spans="107:116" ht="12.75" customHeight="1">
      <c r="DC4558" s="19"/>
      <c r="DL4558" s="13"/>
    </row>
    <row r="4559" spans="107:116" ht="12.75" customHeight="1">
      <c r="DC4559" s="19"/>
      <c r="DL4559" s="13"/>
    </row>
    <row r="4560" spans="107:116" ht="12.75" customHeight="1">
      <c r="DC4560" s="19"/>
      <c r="DL4560" s="13"/>
    </row>
    <row r="4561" spans="107:116" ht="12.75" customHeight="1">
      <c r="DC4561" s="19"/>
      <c r="DL4561" s="13"/>
    </row>
    <row r="4562" spans="107:116" ht="12.75" customHeight="1">
      <c r="DC4562" s="19"/>
      <c r="DL4562" s="13"/>
    </row>
    <row r="4563" spans="107:116" ht="12.75" customHeight="1">
      <c r="DC4563" s="19"/>
      <c r="DL4563" s="13"/>
    </row>
    <row r="4564" spans="107:116" ht="12.75" customHeight="1">
      <c r="DC4564" s="19"/>
      <c r="DL4564" s="13"/>
    </row>
    <row r="4565" spans="107:116" ht="12.75" customHeight="1">
      <c r="DC4565" s="19"/>
      <c r="DL4565" s="13"/>
    </row>
    <row r="4566" spans="107:116" ht="12.75" customHeight="1">
      <c r="DC4566" s="19"/>
      <c r="DL4566" s="13"/>
    </row>
    <row r="4567" spans="107:116" ht="12.75" customHeight="1">
      <c r="DC4567" s="19"/>
      <c r="DL4567" s="13"/>
    </row>
    <row r="4568" spans="107:116" ht="12.75" customHeight="1">
      <c r="DC4568" s="19"/>
      <c r="DL4568" s="13"/>
    </row>
    <row r="4569" spans="107:116" ht="12.75" customHeight="1">
      <c r="DC4569" s="19"/>
      <c r="DL4569" s="13"/>
    </row>
    <row r="4570" spans="107:116" ht="12.75" customHeight="1">
      <c r="DC4570" s="19"/>
      <c r="DL4570" s="13"/>
    </row>
    <row r="4571" spans="107:116" ht="12.75" customHeight="1">
      <c r="DC4571" s="19"/>
      <c r="DL4571" s="13"/>
    </row>
    <row r="4572" spans="107:116" ht="12.75" customHeight="1">
      <c r="DC4572" s="19"/>
      <c r="DL4572" s="13"/>
    </row>
    <row r="4573" spans="107:116" ht="12.75" customHeight="1">
      <c r="DC4573" s="19"/>
      <c r="DL4573" s="13"/>
    </row>
    <row r="4574" spans="107:116" ht="12.75" customHeight="1">
      <c r="DC4574" s="19"/>
      <c r="DL4574" s="13"/>
    </row>
    <row r="4575" spans="107:116" ht="12.75" customHeight="1">
      <c r="DC4575" s="19"/>
      <c r="DL4575" s="13"/>
    </row>
    <row r="4576" spans="107:116" ht="12.75" customHeight="1">
      <c r="DC4576" s="19"/>
      <c r="DL4576" s="13"/>
    </row>
    <row r="4577" spans="107:116" ht="12.75" customHeight="1">
      <c r="DC4577" s="19"/>
      <c r="DL4577" s="13"/>
    </row>
    <row r="4578" spans="107:116" ht="12.75" customHeight="1">
      <c r="DC4578" s="19"/>
      <c r="DL4578" s="13"/>
    </row>
    <row r="4579" spans="107:116" ht="12.75" customHeight="1">
      <c r="DC4579" s="19"/>
      <c r="DL4579" s="13"/>
    </row>
    <row r="4580" spans="107:116" ht="12.75" customHeight="1">
      <c r="DC4580" s="19"/>
      <c r="DL4580" s="13"/>
    </row>
    <row r="4581" spans="107:116" ht="12.75" customHeight="1">
      <c r="DC4581" s="19"/>
      <c r="DL4581" s="13"/>
    </row>
    <row r="4582" spans="107:116" ht="12.75" customHeight="1">
      <c r="DC4582" s="19"/>
      <c r="DL4582" s="13"/>
    </row>
    <row r="4583" spans="107:116" ht="12.75" customHeight="1">
      <c r="DC4583" s="19"/>
      <c r="DL4583" s="13"/>
    </row>
    <row r="4584" spans="107:116" ht="12.75" customHeight="1">
      <c r="DC4584" s="19"/>
      <c r="DL4584" s="13"/>
    </row>
    <row r="4585" spans="107:116" ht="12.75" customHeight="1">
      <c r="DC4585" s="19"/>
      <c r="DL4585" s="13"/>
    </row>
    <row r="4586" spans="107:116" ht="12.75" customHeight="1">
      <c r="DC4586" s="19"/>
      <c r="DL4586" s="13"/>
    </row>
    <row r="4587" spans="107:116" ht="12.75" customHeight="1">
      <c r="DC4587" s="19"/>
      <c r="DL4587" s="13"/>
    </row>
    <row r="4588" spans="107:116" ht="12.75" customHeight="1">
      <c r="DC4588" s="19"/>
      <c r="DL4588" s="13"/>
    </row>
    <row r="4589" spans="107:116" ht="12.75" customHeight="1">
      <c r="DC4589" s="19"/>
      <c r="DL4589" s="13"/>
    </row>
    <row r="4590" spans="107:116" ht="12.75" customHeight="1">
      <c r="DC4590" s="19"/>
      <c r="DL4590" s="13"/>
    </row>
    <row r="4591" spans="107:116" ht="12.75" customHeight="1">
      <c r="DC4591" s="19"/>
      <c r="DL4591" s="13"/>
    </row>
    <row r="4592" spans="107:116" ht="12.75" customHeight="1">
      <c r="DC4592" s="19"/>
      <c r="DL4592" s="13"/>
    </row>
    <row r="4593" spans="107:116" ht="12.75" customHeight="1">
      <c r="DC4593" s="19"/>
      <c r="DL4593" s="13"/>
    </row>
    <row r="4594" spans="107:116" ht="12.75" customHeight="1">
      <c r="DC4594" s="19"/>
      <c r="DL4594" s="13"/>
    </row>
    <row r="4595" spans="107:116" ht="12.75" customHeight="1">
      <c r="DC4595" s="19"/>
      <c r="DL4595" s="13"/>
    </row>
    <row r="4596" spans="107:116" ht="12.75" customHeight="1">
      <c r="DC4596" s="19"/>
      <c r="DL4596" s="13"/>
    </row>
    <row r="4597" spans="107:116" ht="12.75" customHeight="1">
      <c r="DC4597" s="19"/>
      <c r="DL4597" s="13"/>
    </row>
    <row r="4598" spans="107:116" ht="12.75" customHeight="1">
      <c r="DC4598" s="19"/>
      <c r="DL4598" s="13"/>
    </row>
    <row r="4599" spans="107:116" ht="12.75" customHeight="1">
      <c r="DC4599" s="19"/>
      <c r="DL4599" s="13"/>
    </row>
    <row r="4600" spans="107:116" ht="12.75" customHeight="1">
      <c r="DC4600" s="19"/>
      <c r="DL4600" s="13"/>
    </row>
    <row r="4601" spans="107:116" ht="12.75" customHeight="1">
      <c r="DC4601" s="19"/>
      <c r="DL4601" s="13"/>
    </row>
    <row r="4602" spans="107:116" ht="12.75" customHeight="1">
      <c r="DC4602" s="19"/>
      <c r="DL4602" s="13"/>
    </row>
    <row r="4603" spans="107:116" ht="12.75" customHeight="1">
      <c r="DC4603" s="19"/>
      <c r="DL4603" s="13"/>
    </row>
    <row r="4604" spans="107:116" ht="12.75" customHeight="1">
      <c r="DC4604" s="19"/>
      <c r="DL4604" s="13"/>
    </row>
    <row r="4605" spans="107:116" ht="12.75" customHeight="1">
      <c r="DC4605" s="19"/>
      <c r="DL4605" s="13"/>
    </row>
    <row r="4606" spans="107:116" ht="12.75" customHeight="1">
      <c r="DC4606" s="19"/>
      <c r="DL4606" s="13"/>
    </row>
    <row r="4607" spans="107:116" ht="12.75" customHeight="1">
      <c r="DC4607" s="19"/>
      <c r="DL4607" s="13"/>
    </row>
    <row r="4608" spans="107:116" ht="12.75" customHeight="1">
      <c r="DC4608" s="19"/>
      <c r="DL4608" s="13"/>
    </row>
    <row r="4609" spans="107:116" ht="12.75" customHeight="1">
      <c r="DC4609" s="19"/>
      <c r="DL4609" s="13"/>
    </row>
    <row r="4610" spans="107:116" ht="12.75" customHeight="1">
      <c r="DC4610" s="19"/>
      <c r="DL4610" s="13"/>
    </row>
    <row r="4611" spans="107:116" ht="12.75" customHeight="1">
      <c r="DC4611" s="19"/>
      <c r="DL4611" s="13"/>
    </row>
    <row r="4612" spans="107:116" ht="12.75" customHeight="1">
      <c r="DC4612" s="19"/>
      <c r="DL4612" s="13"/>
    </row>
    <row r="4613" spans="107:116" ht="12.75" customHeight="1">
      <c r="DC4613" s="19"/>
      <c r="DL4613" s="13"/>
    </row>
    <row r="4614" spans="107:116" ht="12.75" customHeight="1">
      <c r="DC4614" s="19"/>
      <c r="DL4614" s="13"/>
    </row>
    <row r="4615" spans="107:116" ht="12.75" customHeight="1">
      <c r="DC4615" s="19"/>
      <c r="DL4615" s="13"/>
    </row>
    <row r="4616" spans="107:116" ht="12.75" customHeight="1">
      <c r="DC4616" s="19"/>
      <c r="DL4616" s="13"/>
    </row>
    <row r="4617" spans="107:116" ht="12.75" customHeight="1">
      <c r="DC4617" s="19"/>
      <c r="DL4617" s="13"/>
    </row>
    <row r="4618" spans="107:116" ht="12.75" customHeight="1">
      <c r="DC4618" s="19"/>
      <c r="DL4618" s="13"/>
    </row>
    <row r="4619" spans="107:116" ht="12.75" customHeight="1">
      <c r="DC4619" s="19"/>
      <c r="DL4619" s="13"/>
    </row>
    <row r="4620" spans="107:116" ht="12.75" customHeight="1">
      <c r="DC4620" s="19"/>
      <c r="DL4620" s="13"/>
    </row>
    <row r="4621" spans="107:116" ht="12.75" customHeight="1">
      <c r="DC4621" s="19"/>
      <c r="DL4621" s="13"/>
    </row>
    <row r="4622" spans="107:116" ht="12.75" customHeight="1">
      <c r="DC4622" s="19"/>
      <c r="DL4622" s="13"/>
    </row>
    <row r="4623" spans="107:116" ht="12.75" customHeight="1">
      <c r="DC4623" s="19"/>
      <c r="DL4623" s="13"/>
    </row>
    <row r="4624" spans="107:116" ht="12.75" customHeight="1">
      <c r="DC4624" s="19"/>
      <c r="DL4624" s="13"/>
    </row>
    <row r="4625" spans="1:116" ht="12.75" customHeight="1">
      <c r="DC4625" s="19"/>
      <c r="DL4625" s="13"/>
    </row>
    <row r="4626" spans="1:116" ht="12.75" customHeight="1">
      <c r="DC4626" s="19"/>
      <c r="DL4626" s="13"/>
    </row>
    <row r="4627" spans="1:116" ht="12.75" customHeight="1">
      <c r="DC4627" s="19"/>
      <c r="DL4627" s="13"/>
    </row>
    <row r="4628" spans="1:116" ht="12.75" customHeight="1">
      <c r="DC4628" s="19"/>
      <c r="DL4628" s="13"/>
    </row>
    <row r="4629" spans="1:116" ht="12.75" customHeight="1">
      <c r="DC4629" s="19"/>
      <c r="DL4629" s="13"/>
    </row>
    <row r="4630" spans="1:116" ht="12.75" customHeight="1">
      <c r="DC4630" s="19"/>
      <c r="DL4630" s="13"/>
    </row>
    <row r="4631" spans="1:116" ht="12.75" customHeight="1">
      <c r="DC4631" s="19"/>
      <c r="DL4631" s="13"/>
    </row>
    <row r="4632" spans="1:116" ht="12.75" customHeight="1">
      <c r="DC4632" s="19"/>
      <c r="DL4632" s="13"/>
    </row>
    <row r="4633" spans="1:116" ht="12.75" customHeight="1">
      <c r="DC4633" s="19"/>
      <c r="DL4633" s="13"/>
    </row>
    <row r="4634" spans="1:116" s="1" customFormat="1" ht="12.75" customHeight="1">
      <c r="A4634" s="13"/>
      <c r="B4634" s="13"/>
      <c r="C4634" s="13"/>
      <c r="D4634" s="13"/>
      <c r="E4634" s="13"/>
      <c r="F4634" s="40"/>
      <c r="G4634" s="13"/>
      <c r="H4634" s="14"/>
      <c r="I4634" s="15"/>
      <c r="J4634" s="15"/>
      <c r="K4634" s="14"/>
      <c r="L4634" s="16"/>
      <c r="M4634" s="17"/>
      <c r="N4634" s="17"/>
      <c r="O4634" s="17"/>
      <c r="P4634" s="17"/>
      <c r="Q4634" s="17"/>
      <c r="R4634" s="17"/>
      <c r="S4634" s="17"/>
      <c r="T4634" s="16"/>
      <c r="U4634" s="17"/>
      <c r="V4634" s="160"/>
      <c r="W4634" s="17"/>
      <c r="X4634" s="17"/>
      <c r="Y4634" s="17"/>
      <c r="Z4634" s="17"/>
      <c r="AA4634" s="17"/>
      <c r="AB4634" s="17"/>
      <c r="AC4634" s="40"/>
      <c r="AD4634" s="40"/>
      <c r="AE4634" s="40"/>
      <c r="AF4634" s="40"/>
      <c r="AG4634" s="40"/>
      <c r="AH4634" s="40"/>
      <c r="AI4634" s="40"/>
      <c r="AJ4634" s="17"/>
      <c r="AK4634" s="17"/>
      <c r="AL4634" s="17"/>
      <c r="AM4634" s="17"/>
      <c r="AN4634" s="17"/>
      <c r="AO4634" s="40"/>
      <c r="AP4634" s="40"/>
      <c r="AQ4634" s="40"/>
      <c r="AR4634" s="40"/>
      <c r="AS4634" s="40"/>
      <c r="AT4634" s="40"/>
      <c r="AU4634" s="40"/>
      <c r="AV4634" s="40"/>
      <c r="AW4634" s="40"/>
      <c r="AX4634" s="40"/>
      <c r="AY4634" s="40"/>
      <c r="AZ4634" s="40"/>
      <c r="BA4634" s="40"/>
      <c r="BB4634" s="40"/>
      <c r="BC4634" s="15"/>
      <c r="BD4634" s="40"/>
      <c r="BE4634"/>
      <c r="BF4634"/>
      <c r="BG4634"/>
      <c r="BH4634"/>
      <c r="BI4634"/>
      <c r="BJ4634"/>
      <c r="BK4634"/>
      <c r="BL4634"/>
      <c r="BM4634"/>
      <c r="BN4634"/>
      <c r="BO4634"/>
      <c r="BP4634"/>
      <c r="BQ4634"/>
      <c r="BR4634"/>
      <c r="BS4634"/>
      <c r="BT4634"/>
      <c r="BU4634"/>
      <c r="BV4634"/>
      <c r="BW4634" s="17"/>
      <c r="BX4634" s="17"/>
      <c r="BY4634" s="17"/>
      <c r="BZ4634" s="17"/>
      <c r="CA4634" s="17"/>
      <c r="CB4634" s="17"/>
      <c r="CC4634" s="17"/>
      <c r="CD4634" s="17"/>
      <c r="CE4634" s="17"/>
      <c r="CF4634"/>
      <c r="CG4634" s="18"/>
      <c r="CH4634" s="13"/>
      <c r="CI4634" s="13"/>
      <c r="CJ4634" s="24"/>
      <c r="CK4634" s="13"/>
      <c r="CL4634" s="13"/>
      <c r="CM4634" s="13"/>
      <c r="CN4634" s="13"/>
      <c r="CO4634" s="13"/>
      <c r="CP4634" s="13"/>
      <c r="CQ4634" s="13"/>
      <c r="CR4634" s="13"/>
      <c r="CS4634" s="13"/>
      <c r="CU4634" s="13"/>
      <c r="CV4634" s="13"/>
    </row>
    <row r="4635" spans="1:116" s="1" customFormat="1" ht="12.75" customHeight="1">
      <c r="A4635" s="13"/>
      <c r="B4635" s="13"/>
      <c r="C4635" s="13"/>
      <c r="D4635" s="13"/>
      <c r="E4635" s="13"/>
      <c r="F4635" s="40"/>
      <c r="G4635" s="13"/>
      <c r="H4635" s="14"/>
      <c r="I4635" s="15"/>
      <c r="J4635" s="15"/>
      <c r="K4635" s="14"/>
      <c r="L4635" s="16"/>
      <c r="M4635" s="17"/>
      <c r="N4635" s="17"/>
      <c r="O4635" s="17"/>
      <c r="P4635" s="17"/>
      <c r="Q4635" s="17"/>
      <c r="R4635" s="17"/>
      <c r="S4635" s="17"/>
      <c r="T4635" s="16"/>
      <c r="U4635" s="17"/>
      <c r="V4635" s="160"/>
      <c r="W4635" s="17"/>
      <c r="X4635" s="17"/>
      <c r="Y4635" s="17"/>
      <c r="Z4635" s="17"/>
      <c r="AA4635" s="17"/>
      <c r="AB4635" s="17"/>
      <c r="AC4635" s="40"/>
      <c r="AD4635" s="40"/>
      <c r="AE4635" s="40"/>
      <c r="AF4635" s="40"/>
      <c r="AG4635" s="40"/>
      <c r="AH4635" s="40"/>
      <c r="AI4635" s="40"/>
      <c r="AJ4635" s="17"/>
      <c r="AK4635" s="17"/>
      <c r="AL4635" s="17"/>
      <c r="AM4635" s="17"/>
      <c r="AN4635" s="17"/>
      <c r="AO4635" s="40"/>
      <c r="AP4635" s="40"/>
      <c r="AQ4635" s="40"/>
      <c r="AR4635" s="40"/>
      <c r="AS4635" s="40"/>
      <c r="AT4635" s="40"/>
      <c r="AU4635" s="40"/>
      <c r="AV4635" s="40"/>
      <c r="AW4635" s="40"/>
      <c r="AX4635" s="40"/>
      <c r="AY4635" s="40"/>
      <c r="AZ4635" s="40"/>
      <c r="BA4635" s="40"/>
      <c r="BB4635" s="40"/>
      <c r="BC4635" s="15"/>
      <c r="BD4635" s="40"/>
      <c r="BE4635"/>
      <c r="BF4635"/>
      <c r="BG4635"/>
      <c r="BH4635"/>
      <c r="BI4635"/>
      <c r="BJ4635"/>
      <c r="BK4635"/>
      <c r="BL4635"/>
      <c r="BM4635"/>
      <c r="BN4635"/>
      <c r="BO4635"/>
      <c r="BP4635"/>
      <c r="BQ4635"/>
      <c r="BR4635"/>
      <c r="BS4635"/>
      <c r="BT4635"/>
      <c r="BU4635"/>
      <c r="BV4635"/>
      <c r="BW4635" s="17"/>
      <c r="BX4635" s="17"/>
      <c r="BY4635" s="17"/>
      <c r="BZ4635" s="17"/>
      <c r="CA4635" s="17"/>
      <c r="CB4635" s="17"/>
      <c r="CC4635" s="17"/>
      <c r="CD4635" s="17"/>
      <c r="CE4635" s="17"/>
      <c r="CF4635"/>
      <c r="CG4635" s="18"/>
      <c r="CH4635" s="13"/>
      <c r="CI4635" s="13"/>
      <c r="CJ4635" s="24"/>
      <c r="CK4635" s="13"/>
      <c r="CL4635" s="13"/>
      <c r="CM4635" s="13"/>
      <c r="CN4635" s="13"/>
      <c r="CO4635" s="13"/>
      <c r="CP4635" s="13"/>
      <c r="CQ4635" s="13"/>
      <c r="CR4635" s="13"/>
      <c r="CS4635" s="13"/>
      <c r="CU4635" s="13"/>
      <c r="CV4635" s="13"/>
    </row>
    <row r="4636" spans="1:116" ht="12.75" customHeight="1">
      <c r="DC4636" s="19"/>
      <c r="DL4636" s="13"/>
    </row>
    <row r="4637" spans="1:116" ht="12.75" customHeight="1">
      <c r="DC4637" s="19"/>
      <c r="DL4637" s="13"/>
    </row>
    <row r="4638" spans="1:116" ht="12.75" customHeight="1">
      <c r="DC4638" s="19"/>
      <c r="DL4638" s="13"/>
    </row>
    <row r="4639" spans="1:116" ht="12.75" customHeight="1">
      <c r="DC4639" s="19"/>
      <c r="DL4639" s="13"/>
    </row>
    <row r="4640" spans="1:116" ht="12.75" customHeight="1">
      <c r="DC4640" s="19"/>
      <c r="DL4640" s="13"/>
    </row>
    <row r="4641" spans="101:116" ht="12.75" customHeight="1">
      <c r="DC4641" s="19"/>
      <c r="DL4641" s="13"/>
    </row>
    <row r="4642" spans="101:116" ht="12.75" customHeight="1">
      <c r="DC4642" s="19"/>
      <c r="DL4642" s="13"/>
    </row>
    <row r="4643" spans="101:116" ht="12.75" customHeight="1">
      <c r="DC4643" s="19"/>
      <c r="DL4643" s="13"/>
    </row>
    <row r="4644" spans="101:116" ht="12.75" customHeight="1">
      <c r="DC4644" s="19"/>
      <c r="DL4644" s="13"/>
    </row>
    <row r="4645" spans="101:116" ht="12.75" customHeight="1">
      <c r="DC4645" s="19"/>
      <c r="DL4645" s="13"/>
    </row>
    <row r="4646" spans="101:116" ht="12.75" customHeight="1">
      <c r="DC4646" s="19"/>
      <c r="DL4646" s="13"/>
    </row>
    <row r="4647" spans="101:116" ht="12.75" customHeight="1">
      <c r="DC4647" s="19"/>
      <c r="DL4647" s="13"/>
    </row>
    <row r="4648" spans="101:116" ht="12.75" customHeight="1">
      <c r="CW4648" s="1"/>
      <c r="CX4648" s="1"/>
      <c r="DC4648" s="19"/>
      <c r="DL4648" s="13"/>
    </row>
    <row r="4649" spans="101:116" ht="12.75" customHeight="1">
      <c r="CW4649" s="1"/>
      <c r="CX4649" s="1"/>
      <c r="DC4649" s="19"/>
      <c r="DL4649" s="13"/>
    </row>
    <row r="4650" spans="101:116" ht="12.75" customHeight="1">
      <c r="CW4650" s="1"/>
      <c r="CX4650" s="1"/>
      <c r="DC4650" s="19"/>
      <c r="DL4650" s="13"/>
    </row>
    <row r="4651" spans="101:116" ht="12.75" customHeight="1">
      <c r="CW4651" s="1"/>
      <c r="CX4651" s="1"/>
      <c r="DC4651" s="19"/>
      <c r="DL4651" s="13"/>
    </row>
    <row r="4652" spans="101:116" ht="12.75" customHeight="1">
      <c r="CW4652" s="1"/>
      <c r="CX4652" s="1"/>
      <c r="DC4652" s="19"/>
      <c r="DL4652" s="13"/>
    </row>
    <row r="4653" spans="101:116" ht="12.75" customHeight="1">
      <c r="CW4653" s="1"/>
      <c r="CX4653" s="1"/>
      <c r="DC4653" s="19"/>
      <c r="DL4653" s="13"/>
    </row>
    <row r="4654" spans="101:116" ht="12.75" customHeight="1">
      <c r="CW4654" s="1"/>
      <c r="CX4654" s="1"/>
      <c r="DC4654" s="19"/>
      <c r="DL4654" s="13"/>
    </row>
    <row r="4655" spans="101:116" ht="12.75" customHeight="1">
      <c r="CW4655" s="1"/>
      <c r="CX4655" s="1"/>
      <c r="DC4655" s="19"/>
      <c r="DL4655" s="13"/>
    </row>
    <row r="4656" spans="101:116" ht="12.75" customHeight="1">
      <c r="CW4656" s="1"/>
      <c r="CX4656" s="1"/>
      <c r="DC4656" s="19"/>
      <c r="DL4656" s="13"/>
    </row>
    <row r="4657" spans="101:116" ht="12.75" customHeight="1">
      <c r="CW4657" s="1"/>
      <c r="CX4657" s="1"/>
      <c r="DC4657" s="19"/>
      <c r="DL4657" s="13"/>
    </row>
    <row r="4658" spans="101:116" ht="12.75" customHeight="1">
      <c r="CW4658" s="1"/>
      <c r="CX4658" s="1"/>
      <c r="DC4658" s="19"/>
      <c r="DL4658" s="13"/>
    </row>
    <row r="4659" spans="101:116" ht="12.75" customHeight="1">
      <c r="CW4659" s="1"/>
      <c r="CX4659" s="1"/>
      <c r="DC4659" s="19"/>
      <c r="DL4659" s="13"/>
    </row>
    <row r="4660" spans="101:116" ht="12.75" customHeight="1">
      <c r="CW4660" s="1"/>
      <c r="CX4660" s="1"/>
      <c r="DC4660" s="19"/>
      <c r="DL4660" s="13"/>
    </row>
    <row r="4661" spans="101:116" ht="12.75" customHeight="1">
      <c r="CW4661" s="1"/>
      <c r="CX4661" s="1"/>
      <c r="DC4661" s="19"/>
      <c r="DL4661" s="13"/>
    </row>
    <row r="4662" spans="101:116" ht="12.75" customHeight="1">
      <c r="CW4662" s="1"/>
      <c r="CX4662" s="1"/>
      <c r="DC4662" s="19"/>
      <c r="DL4662" s="13"/>
    </row>
    <row r="4663" spans="101:116" ht="12.75" customHeight="1">
      <c r="CW4663" s="1"/>
      <c r="CX4663" s="1"/>
      <c r="DC4663" s="19"/>
      <c r="DL4663" s="13"/>
    </row>
    <row r="4664" spans="101:116" ht="12.75" customHeight="1">
      <c r="CW4664" s="1"/>
      <c r="CX4664" s="1"/>
      <c r="DC4664" s="19"/>
      <c r="DL4664" s="13"/>
    </row>
    <row r="4665" spans="101:116" ht="12.75" customHeight="1">
      <c r="CW4665" s="1"/>
      <c r="CX4665" s="1"/>
      <c r="DC4665" s="19"/>
      <c r="DL4665" s="13"/>
    </row>
    <row r="4666" spans="101:116" ht="12.75" customHeight="1">
      <c r="CW4666" s="1"/>
      <c r="CX4666" s="1"/>
      <c r="DC4666" s="19"/>
      <c r="DL4666" s="13"/>
    </row>
    <row r="4667" spans="101:116" ht="12.75" customHeight="1">
      <c r="CW4667" s="1"/>
      <c r="CX4667" s="1"/>
      <c r="DC4667" s="19"/>
      <c r="DL4667" s="13"/>
    </row>
    <row r="4668" spans="101:116" ht="12.75" customHeight="1">
      <c r="CW4668" s="1"/>
      <c r="CX4668" s="1"/>
      <c r="DC4668" s="19"/>
      <c r="DL4668" s="13"/>
    </row>
    <row r="4669" spans="101:116" ht="12.75" customHeight="1">
      <c r="CW4669" s="1"/>
      <c r="CX4669" s="1"/>
      <c r="DC4669" s="19"/>
      <c r="DL4669" s="13"/>
    </row>
    <row r="4670" spans="101:116" ht="12.75" customHeight="1">
      <c r="CW4670" s="1"/>
      <c r="CX4670" s="1"/>
      <c r="DC4670" s="19"/>
      <c r="DL4670" s="13"/>
    </row>
    <row r="4671" spans="101:116" ht="12.75" customHeight="1">
      <c r="CW4671" s="1"/>
      <c r="CX4671" s="1"/>
      <c r="DC4671" s="19"/>
      <c r="DL4671" s="13"/>
    </row>
    <row r="4672" spans="101:116" ht="12.75" customHeight="1">
      <c r="CW4672" s="1"/>
      <c r="CX4672" s="1"/>
      <c r="DC4672" s="19"/>
      <c r="DL4672" s="13"/>
    </row>
    <row r="4673" spans="101:116" ht="12.75" customHeight="1">
      <c r="CW4673" s="1"/>
      <c r="CX4673" s="1"/>
      <c r="DC4673" s="19"/>
      <c r="DL4673" s="13"/>
    </row>
    <row r="4674" spans="101:116" ht="12.75" customHeight="1">
      <c r="CW4674" s="1"/>
      <c r="CX4674" s="1"/>
      <c r="DC4674" s="19"/>
      <c r="DL4674" s="13"/>
    </row>
    <row r="4675" spans="101:116" ht="12.75" customHeight="1">
      <c r="CW4675" s="1"/>
      <c r="CX4675" s="1"/>
      <c r="DC4675" s="19"/>
      <c r="DL4675" s="13"/>
    </row>
    <row r="4676" spans="101:116" ht="12.75" customHeight="1">
      <c r="CW4676" s="1"/>
      <c r="CX4676" s="1"/>
      <c r="DC4676" s="19"/>
      <c r="DL4676" s="13"/>
    </row>
    <row r="4677" spans="101:116" ht="12.75" customHeight="1">
      <c r="CW4677" s="1"/>
      <c r="CX4677" s="1"/>
      <c r="DC4677" s="19"/>
      <c r="DL4677" s="13"/>
    </row>
    <row r="4678" spans="101:116" ht="12.75" customHeight="1">
      <c r="CW4678" s="1"/>
      <c r="CX4678" s="1"/>
      <c r="DC4678" s="19"/>
      <c r="DL4678" s="13"/>
    </row>
    <row r="4679" spans="101:116" ht="12.75" customHeight="1">
      <c r="CW4679" s="1"/>
      <c r="CX4679" s="1"/>
      <c r="DC4679" s="19"/>
      <c r="DL4679" s="13"/>
    </row>
    <row r="4680" spans="101:116" ht="12.75" customHeight="1">
      <c r="CW4680" s="1"/>
      <c r="CX4680" s="1"/>
      <c r="DC4680" s="19"/>
      <c r="DL4680" s="13"/>
    </row>
    <row r="4681" spans="101:116" ht="12.75" customHeight="1">
      <c r="CW4681" s="1"/>
      <c r="CX4681" s="1"/>
      <c r="DC4681" s="19"/>
      <c r="DL4681" s="13"/>
    </row>
    <row r="4682" spans="101:116" ht="12.75" customHeight="1">
      <c r="CW4682" s="1"/>
      <c r="CX4682" s="1"/>
      <c r="DC4682" s="19"/>
      <c r="DL4682" s="13"/>
    </row>
    <row r="4683" spans="101:116" ht="12.75" customHeight="1">
      <c r="CW4683" s="1"/>
      <c r="CX4683" s="1"/>
      <c r="DC4683" s="19"/>
      <c r="DL4683" s="13"/>
    </row>
    <row r="4684" spans="101:116" ht="12.75" customHeight="1">
      <c r="CW4684" s="1"/>
      <c r="CX4684" s="1"/>
      <c r="DC4684" s="19"/>
      <c r="DL4684" s="13"/>
    </row>
    <row r="4685" spans="101:116" ht="12.75" customHeight="1">
      <c r="CW4685" s="1"/>
      <c r="CX4685" s="1"/>
      <c r="DC4685" s="19"/>
      <c r="DL4685" s="13"/>
    </row>
    <row r="4686" spans="101:116" ht="12.75" customHeight="1">
      <c r="CW4686" s="1"/>
      <c r="CX4686" s="1"/>
      <c r="DC4686" s="19"/>
      <c r="DL4686" s="13"/>
    </row>
    <row r="4687" spans="101:116" ht="12.75" customHeight="1">
      <c r="CW4687" s="1"/>
      <c r="CX4687" s="1"/>
      <c r="DC4687" s="19"/>
      <c r="DL4687" s="13"/>
    </row>
    <row r="4688" spans="101:116" ht="12.75" customHeight="1">
      <c r="CW4688" s="1"/>
      <c r="CX4688" s="1"/>
      <c r="DC4688" s="19"/>
      <c r="DL4688" s="13"/>
    </row>
    <row r="4689" spans="101:116" ht="12.75" customHeight="1">
      <c r="CW4689" s="1"/>
      <c r="CX4689" s="1"/>
      <c r="DC4689" s="19"/>
      <c r="DL4689" s="13"/>
    </row>
    <row r="4690" spans="101:116" ht="12.75" customHeight="1">
      <c r="CW4690" s="1"/>
      <c r="CX4690" s="1"/>
      <c r="DC4690" s="19"/>
      <c r="DL4690" s="13"/>
    </row>
    <row r="4691" spans="101:116" ht="12.75" customHeight="1">
      <c r="CW4691" s="1"/>
      <c r="CX4691" s="1"/>
      <c r="DC4691" s="19"/>
      <c r="DL4691" s="13"/>
    </row>
    <row r="4692" spans="101:116" ht="12.75" customHeight="1">
      <c r="CW4692" s="1"/>
      <c r="CX4692" s="1"/>
      <c r="DC4692" s="19"/>
      <c r="DL4692" s="13"/>
    </row>
    <row r="4693" spans="101:116" ht="12.75" customHeight="1">
      <c r="CW4693" s="1"/>
      <c r="CX4693" s="1"/>
      <c r="DC4693" s="19"/>
      <c r="DL4693" s="13"/>
    </row>
    <row r="4694" spans="101:116" ht="12.75" customHeight="1">
      <c r="CW4694" s="1"/>
      <c r="CX4694" s="1"/>
      <c r="DC4694" s="19"/>
      <c r="DL4694" s="13"/>
    </row>
    <row r="4695" spans="101:116" ht="12.75" customHeight="1">
      <c r="CW4695" s="1"/>
      <c r="CX4695" s="1"/>
      <c r="DC4695" s="19"/>
      <c r="DL4695" s="13"/>
    </row>
    <row r="4696" spans="101:116" ht="12.75" customHeight="1">
      <c r="CW4696" s="1"/>
      <c r="CX4696" s="1"/>
      <c r="DC4696" s="19"/>
      <c r="DL4696" s="13"/>
    </row>
    <row r="4697" spans="101:116" ht="12.75" customHeight="1">
      <c r="CW4697" s="1"/>
      <c r="CX4697" s="1"/>
      <c r="DC4697" s="19"/>
      <c r="DL4697" s="13"/>
    </row>
    <row r="4698" spans="101:116" ht="12.75" customHeight="1">
      <c r="CW4698" s="1"/>
      <c r="CX4698" s="1"/>
      <c r="DC4698" s="19"/>
      <c r="DL4698" s="13"/>
    </row>
    <row r="4699" spans="101:116" ht="12.75" customHeight="1">
      <c r="CW4699" s="1"/>
      <c r="CX4699" s="1"/>
      <c r="DC4699" s="19"/>
      <c r="DL4699" s="13"/>
    </row>
    <row r="4700" spans="101:116" ht="12.75" customHeight="1">
      <c r="CW4700" s="1"/>
      <c r="CX4700" s="1"/>
      <c r="DC4700" s="19"/>
      <c r="DL4700" s="13"/>
    </row>
    <row r="4701" spans="101:116" ht="12.75" customHeight="1">
      <c r="CW4701" s="1"/>
      <c r="CX4701" s="1"/>
      <c r="DC4701" s="19"/>
      <c r="DL4701" s="13"/>
    </row>
    <row r="4702" spans="101:116" ht="12.75" customHeight="1">
      <c r="CW4702" s="1"/>
      <c r="CX4702" s="1"/>
      <c r="DC4702" s="19"/>
      <c r="DL4702" s="13"/>
    </row>
    <row r="4703" spans="101:116" ht="12.75" customHeight="1">
      <c r="CW4703" s="1"/>
      <c r="CX4703" s="1"/>
      <c r="DC4703" s="19"/>
      <c r="DL4703" s="13"/>
    </row>
    <row r="4704" spans="101:116" ht="12.75" customHeight="1">
      <c r="CW4704" s="1"/>
      <c r="CX4704" s="1"/>
      <c r="DC4704" s="19"/>
      <c r="DL4704" s="13"/>
    </row>
    <row r="4705" spans="101:116" ht="12.75" customHeight="1">
      <c r="CW4705" s="1"/>
      <c r="CX4705" s="1"/>
      <c r="DC4705" s="19"/>
      <c r="DL4705" s="13"/>
    </row>
    <row r="4706" spans="101:116" ht="12.75" customHeight="1">
      <c r="CW4706" s="1"/>
      <c r="CX4706" s="1"/>
      <c r="DC4706" s="19"/>
      <c r="DL4706" s="13"/>
    </row>
    <row r="4707" spans="101:116" ht="12.75" customHeight="1">
      <c r="CW4707" s="1"/>
      <c r="CX4707" s="1"/>
      <c r="DC4707" s="19"/>
      <c r="DL4707" s="13"/>
    </row>
    <row r="4708" spans="101:116" ht="12.75" customHeight="1">
      <c r="CW4708" s="1"/>
      <c r="CX4708" s="1"/>
      <c r="DC4708" s="19"/>
      <c r="DL4708" s="13"/>
    </row>
    <row r="4709" spans="101:116" ht="12.75" customHeight="1">
      <c r="CW4709" s="1"/>
      <c r="CX4709" s="1"/>
      <c r="DC4709" s="19"/>
      <c r="DL4709" s="13"/>
    </row>
    <row r="4710" spans="101:116" ht="12.75" customHeight="1">
      <c r="CW4710" s="1"/>
      <c r="CX4710" s="1"/>
      <c r="DC4710" s="19"/>
      <c r="DL4710" s="13"/>
    </row>
    <row r="4711" spans="101:116" ht="12.75" customHeight="1">
      <c r="CW4711" s="1"/>
      <c r="CX4711" s="1"/>
      <c r="DC4711" s="19"/>
      <c r="DL4711" s="13"/>
    </row>
    <row r="4712" spans="101:116" ht="12.75" customHeight="1">
      <c r="CW4712" s="1"/>
      <c r="CX4712" s="1"/>
      <c r="DC4712" s="19"/>
      <c r="DL4712" s="13"/>
    </row>
    <row r="4713" spans="101:116" ht="12.75" customHeight="1">
      <c r="CW4713" s="1"/>
      <c r="CX4713" s="1"/>
      <c r="DC4713" s="19"/>
      <c r="DL4713" s="13"/>
    </row>
    <row r="4714" spans="101:116" ht="12.75" customHeight="1">
      <c r="CW4714" s="1"/>
      <c r="CX4714" s="1"/>
      <c r="DC4714" s="19"/>
      <c r="DL4714" s="13"/>
    </row>
    <row r="4715" spans="101:116" ht="12.75" customHeight="1">
      <c r="CW4715" s="1"/>
      <c r="CX4715" s="1"/>
      <c r="DC4715" s="19"/>
      <c r="DL4715" s="13"/>
    </row>
    <row r="4716" spans="101:116" ht="12.75" customHeight="1">
      <c r="CW4716" s="1"/>
      <c r="CX4716" s="1"/>
      <c r="DC4716" s="19"/>
      <c r="DL4716" s="13"/>
    </row>
    <row r="4717" spans="101:116" ht="12.75" customHeight="1">
      <c r="CW4717" s="1"/>
      <c r="CX4717" s="1"/>
      <c r="DC4717" s="19"/>
      <c r="DL4717" s="13"/>
    </row>
    <row r="4718" spans="101:116" ht="12.75" customHeight="1">
      <c r="CW4718" s="1"/>
      <c r="CX4718" s="1"/>
      <c r="DC4718" s="19"/>
      <c r="DL4718" s="13"/>
    </row>
    <row r="4719" spans="101:116" ht="12.75" customHeight="1">
      <c r="CW4719" s="1"/>
      <c r="CX4719" s="1"/>
      <c r="DC4719" s="19"/>
      <c r="DL4719" s="13"/>
    </row>
    <row r="4720" spans="101:116" ht="12.75" customHeight="1">
      <c r="CW4720" s="1"/>
      <c r="CX4720" s="1"/>
      <c r="DC4720" s="19"/>
      <c r="DL4720" s="13"/>
    </row>
    <row r="4721" spans="101:116" ht="12.75" customHeight="1">
      <c r="CW4721" s="1"/>
      <c r="CX4721" s="1"/>
      <c r="DC4721" s="19"/>
      <c r="DL4721" s="13"/>
    </row>
    <row r="4722" spans="101:116" ht="12.75" customHeight="1">
      <c r="CW4722" s="1"/>
      <c r="CX4722" s="1"/>
      <c r="DC4722" s="19"/>
      <c r="DL4722" s="13"/>
    </row>
    <row r="4723" spans="101:116" ht="12.75" customHeight="1">
      <c r="CW4723" s="1"/>
      <c r="CX4723" s="1"/>
      <c r="DC4723" s="19"/>
      <c r="DL4723" s="13"/>
    </row>
    <row r="4724" spans="101:116" ht="12.75" customHeight="1">
      <c r="CW4724" s="1"/>
      <c r="CX4724" s="1"/>
      <c r="DC4724" s="19"/>
      <c r="DL4724" s="13"/>
    </row>
    <row r="4725" spans="101:116" ht="12.75" customHeight="1">
      <c r="CW4725" s="1"/>
      <c r="CX4725" s="1"/>
      <c r="DC4725" s="19"/>
      <c r="DL4725" s="13"/>
    </row>
    <row r="4726" spans="101:116" ht="12.75" customHeight="1">
      <c r="CW4726" s="1"/>
      <c r="CX4726" s="1"/>
      <c r="DC4726" s="19"/>
      <c r="DL4726" s="13"/>
    </row>
    <row r="4727" spans="101:116" ht="12.75" customHeight="1">
      <c r="CW4727" s="1"/>
      <c r="CX4727" s="1"/>
      <c r="DC4727" s="19"/>
      <c r="DL4727" s="13"/>
    </row>
    <row r="4728" spans="101:116" ht="12.75" customHeight="1">
      <c r="CW4728" s="1"/>
      <c r="CX4728" s="1"/>
      <c r="DC4728" s="19"/>
      <c r="DL4728" s="13"/>
    </row>
    <row r="4729" spans="101:116" ht="12.75" customHeight="1">
      <c r="CW4729" s="1"/>
      <c r="CX4729" s="1"/>
      <c r="DC4729" s="19"/>
      <c r="DL4729" s="13"/>
    </row>
    <row r="4730" spans="101:116" ht="12.75" customHeight="1">
      <c r="CW4730" s="1"/>
      <c r="CX4730" s="1"/>
      <c r="DC4730" s="19"/>
      <c r="DL4730" s="13"/>
    </row>
    <row r="4731" spans="101:116" ht="12.75" customHeight="1">
      <c r="CW4731" s="1"/>
      <c r="CX4731" s="1"/>
      <c r="DC4731" s="19"/>
      <c r="DL4731" s="13"/>
    </row>
    <row r="4732" spans="101:116" ht="12.75" customHeight="1">
      <c r="CW4732" s="1"/>
      <c r="CX4732" s="1"/>
      <c r="DC4732" s="19"/>
      <c r="DL4732" s="13"/>
    </row>
    <row r="4733" spans="101:116" ht="12.75" customHeight="1">
      <c r="CW4733" s="1"/>
      <c r="CX4733" s="1"/>
      <c r="DC4733" s="19"/>
      <c r="DL4733" s="13"/>
    </row>
    <row r="4734" spans="101:116" ht="12.75" customHeight="1">
      <c r="CW4734" s="1"/>
      <c r="CX4734" s="1"/>
      <c r="DC4734" s="19"/>
      <c r="DL4734" s="13"/>
    </row>
    <row r="4735" spans="101:116" ht="12.75" customHeight="1">
      <c r="CW4735" s="1"/>
      <c r="CX4735" s="1"/>
      <c r="DC4735" s="19"/>
      <c r="DL4735" s="13"/>
    </row>
    <row r="4736" spans="101:116" ht="12.75" customHeight="1">
      <c r="CW4736" s="1"/>
      <c r="CX4736" s="1"/>
      <c r="DC4736" s="19"/>
      <c r="DL4736" s="13"/>
    </row>
    <row r="4737" spans="101:116" ht="12.75" customHeight="1">
      <c r="CW4737" s="1"/>
      <c r="CX4737" s="1"/>
      <c r="DC4737" s="19"/>
      <c r="DL4737" s="13"/>
    </row>
    <row r="4738" spans="101:116" ht="12.75" customHeight="1">
      <c r="CW4738" s="1"/>
      <c r="CX4738" s="1"/>
      <c r="DC4738" s="19"/>
      <c r="DL4738" s="13"/>
    </row>
    <row r="4739" spans="101:116" ht="12.75" customHeight="1">
      <c r="CW4739" s="1"/>
      <c r="CX4739" s="1"/>
      <c r="DC4739" s="19"/>
      <c r="DL4739" s="13"/>
    </row>
    <row r="4740" spans="101:116" ht="12.75" customHeight="1">
      <c r="CW4740" s="1"/>
      <c r="CX4740" s="1"/>
      <c r="DC4740" s="19"/>
      <c r="DL4740" s="13"/>
    </row>
    <row r="4741" spans="101:116" ht="12.75" customHeight="1">
      <c r="CW4741" s="1"/>
      <c r="CX4741" s="1"/>
      <c r="DC4741" s="19"/>
      <c r="DL4741" s="13"/>
    </row>
    <row r="4742" spans="101:116" ht="12.75" customHeight="1">
      <c r="CW4742" s="1"/>
      <c r="CX4742" s="1"/>
      <c r="DC4742" s="19"/>
      <c r="DL4742" s="13"/>
    </row>
    <row r="4743" spans="101:116" ht="12.75" customHeight="1">
      <c r="CW4743" s="1"/>
      <c r="CX4743" s="1"/>
      <c r="DC4743" s="19"/>
      <c r="DL4743" s="13"/>
    </row>
    <row r="4744" spans="101:116" ht="12.75" customHeight="1">
      <c r="CW4744" s="1"/>
      <c r="CX4744" s="1"/>
      <c r="DC4744" s="19"/>
      <c r="DL4744" s="13"/>
    </row>
    <row r="4745" spans="101:116" ht="12.75" customHeight="1">
      <c r="CW4745" s="1"/>
      <c r="CX4745" s="1"/>
      <c r="DC4745" s="19"/>
      <c r="DL4745" s="13"/>
    </row>
    <row r="4746" spans="101:116" ht="12.75" customHeight="1">
      <c r="CW4746" s="1"/>
      <c r="CX4746" s="1"/>
      <c r="DC4746" s="19"/>
      <c r="DL4746" s="13"/>
    </row>
    <row r="4747" spans="101:116" ht="12.75" customHeight="1">
      <c r="CW4747" s="1"/>
      <c r="CX4747" s="1"/>
      <c r="DC4747" s="19"/>
      <c r="DL4747" s="13"/>
    </row>
    <row r="4748" spans="101:116" ht="12.75" customHeight="1">
      <c r="CW4748" s="1"/>
      <c r="CX4748" s="1"/>
      <c r="DC4748" s="19"/>
      <c r="DL4748" s="13"/>
    </row>
    <row r="4749" spans="101:116" ht="12.75" customHeight="1">
      <c r="CW4749" s="1"/>
      <c r="CX4749" s="1"/>
      <c r="DC4749" s="19"/>
      <c r="DL4749" s="13"/>
    </row>
    <row r="4750" spans="101:116" ht="12.75" customHeight="1">
      <c r="CW4750" s="1"/>
      <c r="CX4750" s="1"/>
      <c r="DC4750" s="19"/>
      <c r="DL4750" s="13"/>
    </row>
    <row r="4751" spans="101:116" ht="12.75" customHeight="1">
      <c r="CW4751" s="1"/>
      <c r="CX4751" s="1"/>
      <c r="DC4751" s="19"/>
      <c r="DL4751" s="13"/>
    </row>
    <row r="4752" spans="101:116" ht="12.75" customHeight="1">
      <c r="CW4752" s="1"/>
      <c r="CX4752" s="1"/>
      <c r="DC4752" s="19"/>
      <c r="DL4752" s="13"/>
    </row>
    <row r="4753" spans="101:116" ht="12.75" customHeight="1">
      <c r="CW4753" s="1"/>
      <c r="CX4753" s="1"/>
      <c r="DC4753" s="19"/>
      <c r="DL4753" s="13"/>
    </row>
    <row r="4754" spans="101:116" ht="12.75" customHeight="1">
      <c r="CW4754" s="1"/>
      <c r="CX4754" s="1"/>
      <c r="DC4754" s="19"/>
      <c r="DL4754" s="13"/>
    </row>
    <row r="4755" spans="101:116" ht="12.75" customHeight="1">
      <c r="CW4755" s="1"/>
      <c r="CX4755" s="1"/>
      <c r="DC4755" s="19"/>
      <c r="DL4755" s="13"/>
    </row>
    <row r="4756" spans="101:116" ht="12.75" customHeight="1">
      <c r="CW4756" s="1"/>
      <c r="CX4756" s="1"/>
      <c r="DC4756" s="19"/>
      <c r="DL4756" s="13"/>
    </row>
    <row r="4757" spans="101:116" ht="12.75" customHeight="1">
      <c r="CW4757" s="1"/>
      <c r="CX4757" s="1"/>
      <c r="DC4757" s="19"/>
      <c r="DL4757" s="13"/>
    </row>
    <row r="4758" spans="101:116" ht="12.75" customHeight="1">
      <c r="CW4758" s="1"/>
      <c r="CX4758" s="1"/>
      <c r="DC4758" s="19"/>
      <c r="DL4758" s="13"/>
    </row>
    <row r="4759" spans="101:116" ht="12.75" customHeight="1">
      <c r="CW4759" s="1"/>
      <c r="CX4759" s="1"/>
      <c r="DC4759" s="19"/>
      <c r="DL4759" s="13"/>
    </row>
    <row r="4760" spans="101:116" ht="12.75" customHeight="1">
      <c r="CW4760" s="1"/>
      <c r="CX4760" s="1"/>
      <c r="DC4760" s="19"/>
      <c r="DL4760" s="13"/>
    </row>
    <row r="4761" spans="101:116" ht="12.75" customHeight="1">
      <c r="CW4761" s="1"/>
      <c r="CX4761" s="1"/>
      <c r="DC4761" s="19"/>
      <c r="DL4761" s="13"/>
    </row>
    <row r="4762" spans="101:116" ht="12.75" customHeight="1">
      <c r="CW4762" s="1"/>
      <c r="CX4762" s="1"/>
      <c r="DC4762" s="19"/>
      <c r="DL4762" s="13"/>
    </row>
    <row r="4763" spans="101:116" ht="12.75" customHeight="1">
      <c r="CW4763" s="1"/>
      <c r="CX4763" s="1"/>
      <c r="DC4763" s="19"/>
      <c r="DL4763" s="13"/>
    </row>
    <row r="4764" spans="101:116" ht="12.75" customHeight="1">
      <c r="DC4764" s="19"/>
      <c r="DL4764" s="13"/>
    </row>
    <row r="4765" spans="101:116" ht="12.75" customHeight="1">
      <c r="DC4765" s="19"/>
      <c r="DL4765" s="13"/>
    </row>
    <row r="4766" spans="101:116" ht="12.75" customHeight="1">
      <c r="DC4766" s="19"/>
      <c r="DL4766" s="13"/>
    </row>
    <row r="4767" spans="101:116" ht="12.75" customHeight="1">
      <c r="DC4767" s="19"/>
      <c r="DL4767" s="13"/>
    </row>
    <row r="4768" spans="101:116" ht="12.75" customHeight="1">
      <c r="DC4768" s="19"/>
      <c r="DL4768" s="13"/>
    </row>
    <row r="4769" spans="107:116" ht="12.75" customHeight="1">
      <c r="DC4769" s="19"/>
      <c r="DL4769" s="13"/>
    </row>
    <row r="4770" spans="107:116" ht="12.75" customHeight="1">
      <c r="DC4770" s="19"/>
      <c r="DL4770" s="13"/>
    </row>
    <row r="4771" spans="107:116" ht="12.75" customHeight="1">
      <c r="DC4771" s="19"/>
      <c r="DL4771" s="13"/>
    </row>
    <row r="4772" spans="107:116" ht="12.75" customHeight="1">
      <c r="DC4772" s="19"/>
      <c r="DL4772" s="13"/>
    </row>
    <row r="4773" spans="107:116" ht="12.75" customHeight="1">
      <c r="DC4773" s="19"/>
      <c r="DL4773" s="13"/>
    </row>
    <row r="4774" spans="107:116" ht="12.75" customHeight="1">
      <c r="DC4774" s="19"/>
      <c r="DL4774" s="13"/>
    </row>
    <row r="4775" spans="107:116" ht="12.75" customHeight="1">
      <c r="DC4775" s="19"/>
      <c r="DL4775" s="13"/>
    </row>
    <row r="4776" spans="107:116" ht="12.75" customHeight="1">
      <c r="DC4776" s="19"/>
      <c r="DL4776" s="13"/>
    </row>
    <row r="4777" spans="107:116" ht="12.75" customHeight="1">
      <c r="DC4777" s="19"/>
      <c r="DL4777" s="13"/>
    </row>
    <row r="4778" spans="107:116" ht="12.75" customHeight="1">
      <c r="DC4778" s="19"/>
      <c r="DL4778" s="13"/>
    </row>
    <row r="4779" spans="107:116" ht="12.75" customHeight="1">
      <c r="DC4779" s="19"/>
      <c r="DL4779" s="13"/>
    </row>
    <row r="4780" spans="107:116" ht="12.75" customHeight="1">
      <c r="DC4780" s="19"/>
      <c r="DL4780" s="13"/>
    </row>
    <row r="4781" spans="107:116" ht="12.75" customHeight="1">
      <c r="DC4781" s="19"/>
      <c r="DL4781" s="13"/>
    </row>
    <row r="4782" spans="107:116" ht="12.75" customHeight="1">
      <c r="DC4782" s="19"/>
      <c r="DL4782" s="13"/>
    </row>
    <row r="4783" spans="107:116" ht="12.75" customHeight="1">
      <c r="DC4783" s="19"/>
      <c r="DL4783" s="13"/>
    </row>
    <row r="4784" spans="107:116" ht="12.75" customHeight="1">
      <c r="DC4784" s="19"/>
      <c r="DL4784" s="13"/>
    </row>
    <row r="4785" spans="101:116" ht="12.75" customHeight="1">
      <c r="DC4785" s="19"/>
      <c r="DL4785" s="13"/>
    </row>
    <row r="4786" spans="101:116" ht="12.75" customHeight="1">
      <c r="DC4786" s="19"/>
      <c r="DL4786" s="13"/>
    </row>
    <row r="4787" spans="101:116" ht="12.75" customHeight="1">
      <c r="DC4787" s="19"/>
      <c r="DL4787" s="13"/>
    </row>
    <row r="4788" spans="101:116" ht="12.75" customHeight="1">
      <c r="DC4788" s="19"/>
      <c r="DL4788" s="13"/>
    </row>
    <row r="4789" spans="101:116" ht="12.75" customHeight="1">
      <c r="DC4789" s="19"/>
      <c r="DL4789" s="13"/>
    </row>
    <row r="4790" spans="101:116" ht="12.75" customHeight="1">
      <c r="DC4790" s="19"/>
      <c r="DL4790" s="13"/>
    </row>
    <row r="4791" spans="101:116" ht="12.75" customHeight="1">
      <c r="DC4791" s="19"/>
      <c r="DL4791" s="13"/>
    </row>
    <row r="4792" spans="101:116" ht="12.75" customHeight="1">
      <c r="DC4792" s="19"/>
      <c r="DL4792" s="13"/>
    </row>
    <row r="4793" spans="101:116" ht="12.75" customHeight="1">
      <c r="DC4793" s="19"/>
      <c r="DL4793" s="13"/>
    </row>
    <row r="4794" spans="101:116" ht="12.75" customHeight="1">
      <c r="CW4794" s="1"/>
      <c r="CX4794" s="1"/>
      <c r="DC4794" s="19"/>
      <c r="DL4794" s="13"/>
    </row>
    <row r="4795" spans="101:116" ht="12.75" customHeight="1">
      <c r="CW4795" s="1"/>
      <c r="CX4795" s="1"/>
      <c r="DC4795" s="19"/>
      <c r="DL4795" s="13"/>
    </row>
    <row r="4796" spans="101:116" ht="12.75" customHeight="1">
      <c r="CW4796" s="1"/>
      <c r="CX4796" s="1"/>
      <c r="DC4796" s="19"/>
      <c r="DL4796" s="13"/>
    </row>
    <row r="4797" spans="101:116" ht="12.75" customHeight="1">
      <c r="CW4797" s="1"/>
      <c r="CX4797" s="1"/>
      <c r="DC4797" s="19"/>
      <c r="DL4797" s="13"/>
    </row>
    <row r="4798" spans="101:116" ht="12.75" customHeight="1">
      <c r="CW4798" s="1"/>
      <c r="CX4798" s="1"/>
      <c r="DC4798" s="19"/>
      <c r="DL4798" s="13"/>
    </row>
    <row r="4799" spans="101:116" ht="12.75" customHeight="1">
      <c r="CW4799" s="1"/>
      <c r="CX4799" s="1"/>
      <c r="DC4799" s="19"/>
      <c r="DL4799" s="13"/>
    </row>
    <row r="4800" spans="101:116" ht="12.75" customHeight="1">
      <c r="CW4800" s="1"/>
      <c r="CX4800" s="1"/>
      <c r="DC4800" s="19"/>
      <c r="DL4800" s="13"/>
    </row>
    <row r="4801" spans="101:116" ht="12.75" customHeight="1">
      <c r="CW4801" s="1"/>
      <c r="CX4801" s="1"/>
      <c r="DC4801" s="19"/>
      <c r="DL4801" s="13"/>
    </row>
    <row r="4802" spans="101:116" ht="12.75" customHeight="1">
      <c r="CW4802" s="1"/>
      <c r="CX4802" s="1"/>
      <c r="DC4802" s="19"/>
      <c r="DL4802" s="13"/>
    </row>
    <row r="4803" spans="101:116" ht="12.75" customHeight="1">
      <c r="CW4803" s="1"/>
      <c r="CX4803" s="1"/>
      <c r="DC4803" s="19"/>
      <c r="DL4803" s="13"/>
    </row>
    <row r="4804" spans="101:116" ht="12.75" customHeight="1">
      <c r="CW4804" s="1"/>
      <c r="CX4804" s="1"/>
      <c r="DC4804" s="19"/>
      <c r="DL4804" s="13"/>
    </row>
    <row r="4805" spans="101:116" ht="12.75" customHeight="1">
      <c r="CW4805" s="1"/>
      <c r="CX4805" s="1"/>
      <c r="DC4805" s="19"/>
      <c r="DL4805" s="13"/>
    </row>
    <row r="4806" spans="101:116" ht="12.75" customHeight="1">
      <c r="CW4806" s="1"/>
      <c r="CX4806" s="1"/>
      <c r="DC4806" s="19"/>
      <c r="DL4806" s="13"/>
    </row>
    <row r="4807" spans="101:116" ht="12.75" customHeight="1">
      <c r="CW4807" s="1"/>
      <c r="CX4807" s="1"/>
      <c r="DC4807" s="19"/>
      <c r="DL4807" s="13"/>
    </row>
    <row r="4808" spans="101:116" ht="12.75" customHeight="1">
      <c r="CW4808" s="1"/>
      <c r="CX4808" s="1"/>
      <c r="DC4808" s="19"/>
      <c r="DL4808" s="13"/>
    </row>
    <row r="4809" spans="101:116" ht="12.75" customHeight="1">
      <c r="CW4809" s="1"/>
      <c r="CX4809" s="1"/>
      <c r="DC4809" s="19"/>
      <c r="DL4809" s="13"/>
    </row>
    <row r="4810" spans="101:116" ht="12.75" customHeight="1">
      <c r="CW4810" s="1"/>
      <c r="CX4810" s="1"/>
      <c r="DC4810" s="19"/>
      <c r="DL4810" s="13"/>
    </row>
    <row r="4811" spans="101:116" ht="12.75" customHeight="1">
      <c r="CW4811" s="1"/>
      <c r="CX4811" s="1"/>
      <c r="DC4811" s="19"/>
      <c r="DL4811" s="13"/>
    </row>
    <row r="4812" spans="101:116" ht="12.75" customHeight="1">
      <c r="CW4812" s="1"/>
      <c r="CX4812" s="1"/>
      <c r="DC4812" s="19"/>
      <c r="DL4812" s="13"/>
    </row>
    <row r="4813" spans="101:116" ht="12.75" customHeight="1">
      <c r="CW4813" s="1"/>
      <c r="CX4813" s="1"/>
      <c r="DC4813" s="19"/>
      <c r="DL4813" s="13"/>
    </row>
    <row r="4814" spans="101:116" ht="12.75" customHeight="1">
      <c r="CW4814" s="1"/>
      <c r="CX4814" s="1"/>
      <c r="DC4814" s="19"/>
      <c r="DL4814" s="13"/>
    </row>
    <row r="4815" spans="101:116" ht="12.75" customHeight="1">
      <c r="CW4815" s="1"/>
      <c r="CX4815" s="1"/>
      <c r="DC4815" s="19"/>
      <c r="DL4815" s="13"/>
    </row>
    <row r="4816" spans="101:116" ht="12.75" customHeight="1">
      <c r="CW4816" s="1"/>
      <c r="CX4816" s="1"/>
      <c r="DC4816" s="19"/>
      <c r="DL4816" s="13"/>
    </row>
    <row r="4817" spans="101:116" ht="12.75" customHeight="1">
      <c r="CW4817" s="1"/>
      <c r="CX4817" s="1"/>
      <c r="DC4817" s="19"/>
      <c r="DL4817" s="13"/>
    </row>
    <row r="4818" spans="101:116" ht="12.75" customHeight="1">
      <c r="CW4818" s="1"/>
      <c r="CX4818" s="1"/>
      <c r="DC4818" s="19"/>
      <c r="DL4818" s="13"/>
    </row>
    <row r="4819" spans="101:116" ht="12.75" customHeight="1">
      <c r="CW4819" s="1"/>
      <c r="CX4819" s="1"/>
      <c r="DC4819" s="19"/>
      <c r="DL4819" s="13"/>
    </row>
    <row r="4820" spans="101:116" ht="12.75" customHeight="1">
      <c r="CW4820" s="1"/>
      <c r="CX4820" s="1"/>
      <c r="DC4820" s="19"/>
      <c r="DL4820" s="13"/>
    </row>
    <row r="4821" spans="101:116" ht="12.75" customHeight="1">
      <c r="CW4821" s="1"/>
      <c r="CX4821" s="1"/>
      <c r="DC4821" s="19"/>
      <c r="DL4821" s="13"/>
    </row>
    <row r="4822" spans="101:116" ht="12.75" customHeight="1">
      <c r="CW4822" s="1"/>
      <c r="CX4822" s="1"/>
      <c r="DC4822" s="19"/>
      <c r="DL4822" s="13"/>
    </row>
    <row r="4823" spans="101:116" ht="12.75" customHeight="1">
      <c r="CW4823" s="1"/>
      <c r="CX4823" s="1"/>
      <c r="DC4823" s="19"/>
      <c r="DL4823" s="13"/>
    </row>
    <row r="4824" spans="101:116" ht="12.75" customHeight="1">
      <c r="CW4824" s="1"/>
      <c r="CX4824" s="1"/>
      <c r="DC4824" s="19"/>
      <c r="DL4824" s="13"/>
    </row>
    <row r="4825" spans="101:116" ht="12.75" customHeight="1">
      <c r="CW4825" s="1"/>
      <c r="CX4825" s="1"/>
      <c r="DC4825" s="19"/>
      <c r="DL4825" s="13"/>
    </row>
    <row r="4826" spans="101:116" ht="12.75" customHeight="1">
      <c r="CW4826" s="1"/>
      <c r="CX4826" s="1"/>
      <c r="DC4826" s="19"/>
      <c r="DL4826" s="13"/>
    </row>
    <row r="4827" spans="101:116" ht="12.75" customHeight="1">
      <c r="CW4827" s="1"/>
      <c r="CX4827" s="1"/>
      <c r="CY4827" s="1"/>
      <c r="CZ4827" s="1"/>
      <c r="DA4827" s="1"/>
      <c r="DC4827" s="19"/>
      <c r="DL4827" s="13"/>
    </row>
    <row r="4828" spans="101:116" ht="12.75" customHeight="1">
      <c r="CW4828" s="1"/>
      <c r="CX4828" s="1"/>
      <c r="CY4828" s="1"/>
      <c r="CZ4828" s="1"/>
      <c r="DA4828" s="1"/>
      <c r="DC4828" s="19"/>
      <c r="DL4828" s="13"/>
    </row>
    <row r="4829" spans="101:116" ht="12.75" customHeight="1">
      <c r="CW4829" s="1"/>
      <c r="CX4829" s="1"/>
      <c r="CY4829" s="1"/>
      <c r="CZ4829" s="1"/>
      <c r="DA4829" s="1"/>
      <c r="DC4829" s="19"/>
      <c r="DL4829" s="13"/>
    </row>
    <row r="4830" spans="101:116" ht="12.75" customHeight="1">
      <c r="CW4830" s="1"/>
      <c r="CX4830" s="1"/>
      <c r="CY4830" s="1"/>
      <c r="CZ4830" s="1"/>
      <c r="DA4830" s="1"/>
      <c r="DC4830" s="19"/>
      <c r="DL4830" s="13"/>
    </row>
    <row r="4831" spans="101:116" ht="12.75" customHeight="1">
      <c r="CW4831" s="1"/>
      <c r="CX4831" s="1"/>
      <c r="CY4831" s="1"/>
      <c r="CZ4831" s="1"/>
      <c r="DA4831" s="1"/>
      <c r="DC4831" s="19"/>
      <c r="DL4831" s="13"/>
    </row>
    <row r="4832" spans="101:116" ht="12.75" customHeight="1">
      <c r="CW4832" s="1"/>
      <c r="CX4832" s="1"/>
      <c r="CY4832" s="1"/>
      <c r="CZ4832" s="1"/>
      <c r="DA4832" s="1"/>
      <c r="DC4832" s="19"/>
      <c r="DL4832" s="13"/>
    </row>
    <row r="4833" spans="101:116" ht="12.75" customHeight="1">
      <c r="CW4833" s="1"/>
      <c r="CX4833" s="1"/>
      <c r="CY4833" s="1"/>
      <c r="CZ4833" s="1"/>
      <c r="DA4833" s="1"/>
      <c r="DC4833" s="19"/>
      <c r="DL4833" s="13"/>
    </row>
    <row r="4834" spans="101:116" ht="12.75" customHeight="1">
      <c r="CW4834" s="1"/>
      <c r="CX4834" s="1"/>
      <c r="CY4834" s="1"/>
      <c r="CZ4834" s="1"/>
      <c r="DA4834" s="1"/>
      <c r="DC4834" s="19"/>
      <c r="DL4834" s="13"/>
    </row>
    <row r="4835" spans="101:116" ht="12.75" customHeight="1">
      <c r="CW4835" s="1"/>
      <c r="CX4835" s="1"/>
      <c r="CY4835" s="1"/>
      <c r="CZ4835" s="1"/>
      <c r="DA4835" s="1"/>
      <c r="DC4835" s="19"/>
      <c r="DL4835" s="13"/>
    </row>
    <row r="4836" spans="101:116" ht="12.75" customHeight="1">
      <c r="CW4836" s="1"/>
      <c r="CX4836" s="1"/>
      <c r="CY4836" s="1"/>
      <c r="CZ4836" s="1"/>
      <c r="DA4836" s="1"/>
      <c r="DC4836" s="19"/>
      <c r="DL4836" s="13"/>
    </row>
    <row r="4837" spans="101:116" ht="12.75" customHeight="1">
      <c r="CW4837" s="1"/>
      <c r="CX4837" s="1"/>
      <c r="CY4837" s="1"/>
      <c r="CZ4837" s="1"/>
      <c r="DA4837" s="1">
        <v>1.3</v>
      </c>
      <c r="DC4837" s="19"/>
      <c r="DL4837" s="13"/>
    </row>
    <row r="4838" spans="101:116" ht="12.75" customHeight="1">
      <c r="CW4838" s="1"/>
      <c r="CX4838" s="1"/>
      <c r="CY4838" s="1"/>
      <c r="CZ4838" s="1"/>
      <c r="DA4838" s="1"/>
      <c r="DC4838" s="19"/>
      <c r="DL4838" s="13"/>
    </row>
    <row r="4839" spans="101:116" ht="12.75" customHeight="1">
      <c r="CW4839" s="1"/>
      <c r="CX4839" s="1"/>
      <c r="CY4839" s="1"/>
      <c r="CZ4839" s="1"/>
      <c r="DA4839" s="1"/>
      <c r="DC4839" s="19"/>
      <c r="DL4839" s="13"/>
    </row>
    <row r="4840" spans="101:116" ht="12.75" customHeight="1">
      <c r="CW4840" s="1"/>
      <c r="CX4840" s="1"/>
      <c r="CY4840" s="1"/>
      <c r="CZ4840" s="1"/>
      <c r="DA4840" s="1"/>
      <c r="DC4840" s="19"/>
      <c r="DL4840" s="13"/>
    </row>
    <row r="4841" spans="101:116" ht="12.75" customHeight="1">
      <c r="CW4841" s="1"/>
      <c r="CX4841" s="1"/>
      <c r="CY4841" s="1"/>
      <c r="CZ4841" s="1"/>
      <c r="DA4841" s="1"/>
      <c r="DC4841" s="19"/>
      <c r="DL4841" s="13"/>
    </row>
    <row r="4842" spans="101:116" ht="12.75" customHeight="1">
      <c r="CW4842" s="1"/>
      <c r="CX4842" s="1"/>
      <c r="CY4842" s="1"/>
      <c r="CZ4842" s="1"/>
      <c r="DA4842" s="1"/>
      <c r="DC4842" s="19"/>
      <c r="DL4842" s="13"/>
    </row>
    <row r="4843" spans="101:116" ht="12.75" customHeight="1">
      <c r="CW4843" s="1"/>
      <c r="CX4843" s="1"/>
      <c r="CY4843" s="1"/>
      <c r="CZ4843" s="1"/>
      <c r="DA4843" s="1"/>
      <c r="DC4843" s="19"/>
      <c r="DL4843" s="13"/>
    </row>
    <row r="4844" spans="101:116" ht="12.75" customHeight="1">
      <c r="CW4844" s="1"/>
      <c r="CX4844" s="1"/>
      <c r="CY4844" s="1"/>
      <c r="CZ4844" s="1"/>
      <c r="DA4844" s="1"/>
      <c r="DC4844" s="19"/>
      <c r="DL4844" s="13"/>
    </row>
    <row r="4845" spans="101:116" ht="12.75" customHeight="1">
      <c r="CW4845" s="1"/>
      <c r="CX4845" s="1"/>
      <c r="CY4845" s="1"/>
      <c r="CZ4845" s="1"/>
      <c r="DA4845" s="1"/>
      <c r="DC4845" s="19"/>
      <c r="DL4845" s="13"/>
    </row>
    <row r="4846" spans="101:116" ht="12.75" customHeight="1">
      <c r="CW4846" s="1"/>
      <c r="CX4846" s="1"/>
      <c r="CY4846" s="1"/>
      <c r="CZ4846" s="1"/>
      <c r="DA4846" s="1"/>
      <c r="DC4846" s="19"/>
      <c r="DL4846" s="13"/>
    </row>
    <row r="4847" spans="101:116" ht="12.75" customHeight="1">
      <c r="CW4847" s="1"/>
      <c r="CX4847" s="1"/>
      <c r="CY4847" s="1"/>
      <c r="CZ4847" s="1"/>
      <c r="DA4847" s="1"/>
      <c r="DC4847" s="19"/>
      <c r="DL4847" s="13"/>
    </row>
    <row r="4848" spans="101:116" ht="12.75" customHeight="1">
      <c r="CW4848" s="1"/>
      <c r="CX4848" s="1"/>
      <c r="CY4848" s="1"/>
      <c r="CZ4848" s="1"/>
      <c r="DA4848" s="1"/>
      <c r="DC4848" s="19"/>
      <c r="DL4848" s="13"/>
    </row>
    <row r="4849" spans="101:116" ht="12.75" customHeight="1">
      <c r="CW4849" s="1"/>
      <c r="CX4849" s="1"/>
      <c r="CY4849" s="1"/>
      <c r="CZ4849" s="1"/>
      <c r="DA4849" s="1"/>
      <c r="DC4849" s="19"/>
      <c r="DL4849" s="13"/>
    </row>
    <row r="4850" spans="101:116" ht="12.75" customHeight="1">
      <c r="CW4850" s="1"/>
      <c r="CX4850" s="1"/>
      <c r="CY4850" s="1"/>
      <c r="CZ4850" s="1"/>
      <c r="DA4850" s="1"/>
      <c r="DC4850" s="19"/>
      <c r="DL4850" s="13"/>
    </row>
    <row r="4851" spans="101:116" ht="12.75" customHeight="1">
      <c r="CW4851" s="1"/>
      <c r="CX4851" s="1"/>
      <c r="CY4851" s="1"/>
      <c r="CZ4851" s="1"/>
      <c r="DA4851" s="1"/>
      <c r="DC4851" s="19"/>
      <c r="DL4851" s="13"/>
    </row>
    <row r="4852" spans="101:116" ht="12.75" customHeight="1">
      <c r="CW4852" s="1"/>
      <c r="CX4852" s="1"/>
      <c r="CY4852" s="1"/>
      <c r="CZ4852" s="1"/>
      <c r="DA4852" s="1"/>
      <c r="DC4852" s="19"/>
      <c r="DL4852" s="13"/>
    </row>
    <row r="4853" spans="101:116" ht="12.75" customHeight="1">
      <c r="CW4853" s="1"/>
      <c r="CX4853" s="1"/>
      <c r="CY4853" s="1"/>
      <c r="CZ4853" s="1"/>
      <c r="DA4853" s="1"/>
      <c r="DC4853" s="19"/>
      <c r="DL4853" s="13"/>
    </row>
    <row r="4854" spans="101:116" ht="12.75" customHeight="1">
      <c r="CW4854" s="1"/>
      <c r="CX4854" s="1"/>
      <c r="CY4854" s="1"/>
      <c r="CZ4854" s="1"/>
      <c r="DA4854" s="1"/>
      <c r="DC4854" s="19"/>
      <c r="DL4854" s="13"/>
    </row>
    <row r="4855" spans="101:116" ht="12.75" customHeight="1">
      <c r="DC4855" s="19"/>
      <c r="DL4855" s="13"/>
    </row>
    <row r="4856" spans="101:116" ht="12.75" customHeight="1">
      <c r="DC4856" s="19"/>
      <c r="DL4856" s="13"/>
    </row>
    <row r="4857" spans="101:116" ht="12.75" customHeight="1">
      <c r="DC4857" s="19"/>
      <c r="DL4857" s="13"/>
    </row>
    <row r="4858" spans="101:116" ht="12.75" customHeight="1">
      <c r="DC4858" s="19"/>
      <c r="DL4858" s="13"/>
    </row>
    <row r="4859" spans="101:116" ht="12.75" customHeight="1">
      <c r="DC4859" s="19"/>
      <c r="DL4859" s="13"/>
    </row>
    <row r="4860" spans="101:116" ht="12.75" customHeight="1">
      <c r="DC4860" s="19"/>
      <c r="DL4860" s="13"/>
    </row>
    <row r="4861" spans="101:116" ht="12.75" customHeight="1">
      <c r="DC4861" s="19"/>
      <c r="DL4861" s="13"/>
    </row>
    <row r="4862" spans="101:116" ht="12.75" customHeight="1">
      <c r="DC4862" s="19"/>
      <c r="DL4862" s="13"/>
    </row>
    <row r="4863" spans="101:116" ht="12.75" customHeight="1">
      <c r="DC4863" s="19"/>
      <c r="DL4863" s="13"/>
    </row>
    <row r="4864" spans="101:116" ht="12.75" customHeight="1">
      <c r="DC4864" s="19"/>
      <c r="DL4864" s="13"/>
    </row>
    <row r="4865" spans="107:116" ht="12.75" customHeight="1">
      <c r="DC4865" s="19"/>
      <c r="DL4865" s="13"/>
    </row>
    <row r="4866" spans="107:116" ht="12.75" customHeight="1">
      <c r="DC4866" s="19"/>
      <c r="DL4866" s="13"/>
    </row>
    <row r="4867" spans="107:116" ht="12.75" customHeight="1">
      <c r="DC4867" s="19"/>
      <c r="DL4867" s="13"/>
    </row>
    <row r="4868" spans="107:116" ht="12.75" customHeight="1">
      <c r="DC4868" s="19"/>
      <c r="DL4868" s="13"/>
    </row>
    <row r="4869" spans="107:116" ht="12.75" customHeight="1">
      <c r="DC4869" s="19"/>
      <c r="DL4869" s="13"/>
    </row>
    <row r="4870" spans="107:116" ht="12.75" customHeight="1">
      <c r="DC4870" s="19"/>
      <c r="DL4870" s="13"/>
    </row>
    <row r="4871" spans="107:116" ht="12.75" customHeight="1">
      <c r="DC4871" s="19"/>
      <c r="DL4871" s="13"/>
    </row>
    <row r="4872" spans="107:116" ht="12.75" customHeight="1">
      <c r="DC4872" s="19"/>
      <c r="DL4872" s="13"/>
    </row>
    <row r="4873" spans="107:116" ht="12.75" customHeight="1">
      <c r="DC4873" s="19"/>
      <c r="DL4873" s="13"/>
    </row>
    <row r="4874" spans="107:116" ht="12.75" customHeight="1">
      <c r="DC4874" s="19"/>
      <c r="DL4874" s="13"/>
    </row>
    <row r="4875" spans="107:116" ht="12.75" customHeight="1">
      <c r="DC4875" s="19"/>
      <c r="DL4875" s="13"/>
    </row>
    <row r="4876" spans="107:116" ht="12.75" customHeight="1">
      <c r="DC4876" s="19"/>
      <c r="DL4876" s="13"/>
    </row>
    <row r="4877" spans="107:116" ht="12.75" customHeight="1">
      <c r="DC4877" s="19"/>
      <c r="DL4877" s="13"/>
    </row>
    <row r="4878" spans="107:116" ht="12.75" customHeight="1">
      <c r="DC4878" s="19"/>
      <c r="DL4878" s="13"/>
    </row>
    <row r="4879" spans="107:116" ht="12.75" customHeight="1">
      <c r="DC4879" s="19"/>
      <c r="DL4879" s="13"/>
    </row>
    <row r="4880" spans="107:116" ht="12.75" customHeight="1">
      <c r="DC4880" s="19"/>
      <c r="DL4880" s="13"/>
    </row>
    <row r="4881" spans="107:116" ht="12.75" customHeight="1">
      <c r="DC4881" s="19"/>
      <c r="DL4881" s="13"/>
    </row>
    <row r="4882" spans="107:116" ht="12.75" customHeight="1">
      <c r="DC4882" s="19"/>
      <c r="DL4882" s="13"/>
    </row>
    <row r="4883" spans="107:116" ht="12.75" customHeight="1">
      <c r="DC4883" s="19"/>
      <c r="DL4883" s="13"/>
    </row>
    <row r="4884" spans="107:116" ht="12.75" customHeight="1">
      <c r="DC4884" s="19"/>
      <c r="DL4884" s="13"/>
    </row>
    <row r="4885" spans="107:116" ht="12.75" customHeight="1">
      <c r="DC4885" s="19"/>
      <c r="DL4885" s="13"/>
    </row>
    <row r="4886" spans="107:116" ht="12.75" customHeight="1">
      <c r="DC4886" s="19"/>
      <c r="DL4886" s="13"/>
    </row>
    <row r="4887" spans="107:116" ht="12.75" customHeight="1">
      <c r="DC4887" s="19"/>
      <c r="DL4887" s="13"/>
    </row>
    <row r="4888" spans="107:116" ht="12.75" customHeight="1">
      <c r="DC4888" s="19"/>
      <c r="DL4888" s="13"/>
    </row>
    <row r="4889" spans="107:116" ht="12.75" customHeight="1">
      <c r="DC4889" s="19"/>
      <c r="DL4889" s="13"/>
    </row>
    <row r="4890" spans="107:116" ht="12.75" customHeight="1">
      <c r="DC4890" s="19"/>
      <c r="DL4890" s="13"/>
    </row>
    <row r="4891" spans="107:116" ht="12.75" customHeight="1">
      <c r="DC4891" s="19"/>
      <c r="DL4891" s="13"/>
    </row>
    <row r="4892" spans="107:116" ht="12.75" customHeight="1">
      <c r="DC4892" s="19"/>
      <c r="DL4892" s="13"/>
    </row>
    <row r="4893" spans="107:116" ht="12.75" customHeight="1">
      <c r="DC4893" s="19"/>
      <c r="DL4893" s="13"/>
    </row>
    <row r="4894" spans="107:116" ht="12.75" customHeight="1">
      <c r="DC4894" s="19"/>
      <c r="DL4894" s="13"/>
    </row>
    <row r="4895" spans="107:116" ht="12.75" customHeight="1">
      <c r="DC4895" s="19"/>
      <c r="DL4895" s="13"/>
    </row>
    <row r="4896" spans="107:116" ht="12.75" customHeight="1">
      <c r="DC4896" s="19"/>
      <c r="DL4896" s="13"/>
    </row>
    <row r="4897" spans="101:116" ht="12.75" customHeight="1">
      <c r="DC4897" s="19"/>
      <c r="DL4897" s="13"/>
    </row>
    <row r="4898" spans="101:116" ht="12.75" customHeight="1">
      <c r="DC4898" s="19"/>
      <c r="DL4898" s="13"/>
    </row>
    <row r="4899" spans="101:116" ht="12.75" customHeight="1">
      <c r="DC4899" s="19"/>
      <c r="DL4899" s="13"/>
    </row>
    <row r="4900" spans="101:116" ht="12.75" customHeight="1">
      <c r="DC4900" s="19"/>
      <c r="DL4900" s="13"/>
    </row>
    <row r="4901" spans="101:116" ht="12.75" customHeight="1">
      <c r="CW4901" s="1"/>
      <c r="CX4901" s="1"/>
      <c r="DC4901" s="19"/>
      <c r="DL4901" s="13"/>
    </row>
    <row r="4902" spans="101:116" ht="12.75" customHeight="1">
      <c r="CW4902" s="1"/>
      <c r="CX4902" s="1"/>
      <c r="DC4902" s="19"/>
      <c r="DL4902" s="13"/>
    </row>
    <row r="4903" spans="101:116" ht="12.75" customHeight="1">
      <c r="CW4903" s="1"/>
      <c r="CX4903" s="1"/>
      <c r="DC4903" s="19"/>
      <c r="DL4903" s="13"/>
    </row>
    <row r="4904" spans="101:116" ht="12.75" customHeight="1">
      <c r="CW4904" s="1"/>
      <c r="CX4904" s="1"/>
      <c r="DC4904" s="19"/>
      <c r="DL4904" s="13"/>
    </row>
    <row r="4905" spans="101:116" ht="12.75" customHeight="1">
      <c r="CW4905" s="1"/>
      <c r="CX4905" s="1"/>
      <c r="DC4905" s="19"/>
      <c r="DL4905" s="13"/>
    </row>
    <row r="4906" spans="101:116" ht="12.75" customHeight="1">
      <c r="CW4906" s="1"/>
      <c r="CX4906" s="1"/>
      <c r="DC4906" s="19"/>
      <c r="DL4906" s="13"/>
    </row>
    <row r="4907" spans="101:116" ht="12.75" customHeight="1">
      <c r="CW4907" s="1"/>
      <c r="CX4907" s="1"/>
      <c r="DC4907" s="19"/>
      <c r="DL4907" s="13"/>
    </row>
    <row r="4908" spans="101:116" ht="12.75" customHeight="1">
      <c r="CW4908" s="1"/>
      <c r="CX4908" s="1"/>
      <c r="DC4908" s="19"/>
      <c r="DL4908" s="13"/>
    </row>
    <row r="4909" spans="101:116" ht="12.75" customHeight="1">
      <c r="CW4909" s="1"/>
      <c r="CX4909" s="1"/>
      <c r="DC4909" s="19"/>
      <c r="DL4909" s="13"/>
    </row>
    <row r="4910" spans="101:116" ht="12.75" customHeight="1">
      <c r="CW4910" s="1"/>
      <c r="CX4910" s="1"/>
      <c r="DC4910" s="19"/>
      <c r="DL4910" s="13"/>
    </row>
    <row r="4911" spans="101:116" ht="12.75" customHeight="1">
      <c r="CW4911" s="1"/>
      <c r="CX4911" s="1"/>
      <c r="DC4911" s="19"/>
      <c r="DL4911" s="13"/>
    </row>
    <row r="4912" spans="101:116" ht="12.75" customHeight="1">
      <c r="CW4912" s="1"/>
      <c r="CX4912" s="1"/>
      <c r="DC4912" s="19"/>
      <c r="DL4912" s="13"/>
    </row>
    <row r="4913" spans="101:116" ht="12.75" customHeight="1">
      <c r="CW4913" s="1"/>
      <c r="CX4913" s="1"/>
      <c r="DC4913" s="19"/>
      <c r="DL4913" s="13"/>
    </row>
    <row r="4914" spans="101:116" ht="12.75" customHeight="1">
      <c r="CW4914" s="1"/>
      <c r="CX4914" s="1"/>
      <c r="DC4914" s="19"/>
      <c r="DL4914" s="13"/>
    </row>
    <row r="4915" spans="101:116" ht="12.75" customHeight="1">
      <c r="CW4915" s="1"/>
      <c r="CX4915" s="1"/>
      <c r="DC4915" s="19"/>
      <c r="DL4915" s="13"/>
    </row>
    <row r="4916" spans="101:116" ht="12.75" customHeight="1">
      <c r="CW4916" s="1"/>
      <c r="CX4916" s="1"/>
      <c r="DC4916" s="19"/>
      <c r="DL4916" s="13"/>
    </row>
    <row r="4917" spans="101:116" ht="12.75" customHeight="1">
      <c r="CW4917" s="1"/>
      <c r="CX4917" s="1"/>
      <c r="DC4917" s="19"/>
      <c r="DL4917" s="13"/>
    </row>
    <row r="4918" spans="101:116" ht="12.75" customHeight="1">
      <c r="CW4918" s="1"/>
      <c r="CX4918" s="1"/>
      <c r="DC4918" s="19"/>
      <c r="DL4918" s="13"/>
    </row>
    <row r="4919" spans="101:116" ht="12.75" customHeight="1">
      <c r="CW4919" s="1"/>
      <c r="CX4919" s="1"/>
      <c r="DC4919" s="19"/>
      <c r="DL4919" s="13"/>
    </row>
    <row r="4920" spans="101:116" ht="12.75" customHeight="1">
      <c r="CW4920" s="1"/>
      <c r="CX4920" s="1"/>
      <c r="DC4920" s="19"/>
      <c r="DL4920" s="13"/>
    </row>
    <row r="4921" spans="101:116" ht="12.75" customHeight="1">
      <c r="CW4921" s="1"/>
      <c r="CX4921" s="1"/>
      <c r="DC4921" s="19"/>
      <c r="DL4921" s="13"/>
    </row>
    <row r="4922" spans="101:116" ht="12.75" customHeight="1">
      <c r="CW4922" s="1"/>
      <c r="CX4922" s="1"/>
      <c r="DC4922" s="19"/>
      <c r="DL4922" s="13"/>
    </row>
    <row r="4923" spans="101:116" ht="12.75" customHeight="1">
      <c r="CW4923" s="1"/>
      <c r="CX4923" s="1"/>
      <c r="DC4923" s="19"/>
      <c r="DL4923" s="13"/>
    </row>
    <row r="4924" spans="101:116" ht="12.75" customHeight="1">
      <c r="CW4924" s="1"/>
      <c r="CX4924" s="1"/>
      <c r="DC4924" s="19"/>
      <c r="DL4924" s="13"/>
    </row>
    <row r="4925" spans="101:116" ht="12.75" customHeight="1">
      <c r="CW4925" s="1"/>
      <c r="CX4925" s="1"/>
      <c r="DC4925" s="19"/>
      <c r="DL4925" s="13"/>
    </row>
    <row r="4926" spans="101:116" ht="12.75" customHeight="1">
      <c r="CW4926" s="1"/>
      <c r="CX4926" s="1"/>
      <c r="DC4926" s="19"/>
      <c r="DL4926" s="13"/>
    </row>
    <row r="4927" spans="101:116" ht="12.75" customHeight="1">
      <c r="CW4927" s="1"/>
      <c r="CX4927" s="1"/>
      <c r="DC4927" s="19"/>
      <c r="DL4927" s="13"/>
    </row>
    <row r="4928" spans="101:116" ht="12.75" customHeight="1">
      <c r="CW4928" s="1"/>
      <c r="CX4928" s="1"/>
      <c r="DC4928" s="19"/>
      <c r="DL4928" s="13"/>
    </row>
    <row r="4929" spans="101:116" ht="12.75" customHeight="1">
      <c r="CW4929" s="1"/>
      <c r="CX4929" s="1"/>
      <c r="DC4929" s="19"/>
      <c r="DL4929" s="13"/>
    </row>
    <row r="4930" spans="101:116" ht="12.75" customHeight="1">
      <c r="CW4930" s="1"/>
      <c r="CX4930" s="1"/>
      <c r="DC4930" s="19"/>
      <c r="DL4930" s="13"/>
    </row>
    <row r="4931" spans="101:116" ht="12.75" customHeight="1">
      <c r="CW4931" s="1"/>
      <c r="CX4931" s="1"/>
      <c r="DC4931" s="19"/>
      <c r="DL4931" s="13"/>
    </row>
    <row r="4932" spans="101:116" ht="12.75" customHeight="1">
      <c r="CW4932" s="1"/>
      <c r="CX4932" s="1"/>
      <c r="DC4932" s="19"/>
      <c r="DL4932" s="13"/>
    </row>
    <row r="4933" spans="101:116" ht="12.75" customHeight="1">
      <c r="CW4933" s="1"/>
      <c r="CX4933" s="1"/>
      <c r="DC4933" s="19"/>
      <c r="DL4933" s="13"/>
    </row>
    <row r="4934" spans="101:116" ht="12.75" customHeight="1">
      <c r="CW4934" s="1"/>
      <c r="CX4934" s="1"/>
      <c r="DC4934" s="19"/>
      <c r="DL4934" s="13"/>
    </row>
    <row r="4935" spans="101:116" ht="12.75" customHeight="1">
      <c r="CW4935" s="1"/>
      <c r="CX4935" s="1"/>
      <c r="DC4935" s="19"/>
      <c r="DL4935" s="13"/>
    </row>
    <row r="4936" spans="101:116" ht="12.75" customHeight="1">
      <c r="CW4936" s="1"/>
      <c r="CX4936" s="1"/>
      <c r="DC4936" s="19"/>
      <c r="DL4936" s="13"/>
    </row>
    <row r="4937" spans="101:116" ht="12.75" customHeight="1">
      <c r="CW4937" s="1"/>
      <c r="CX4937" s="1"/>
      <c r="DC4937" s="19"/>
      <c r="DL4937" s="13"/>
    </row>
    <row r="4938" spans="101:116" ht="12.75" customHeight="1">
      <c r="CW4938" s="1"/>
      <c r="CX4938" s="1"/>
      <c r="DC4938" s="19"/>
      <c r="DL4938" s="13"/>
    </row>
    <row r="4939" spans="101:116" ht="12.75" customHeight="1">
      <c r="CW4939" s="1"/>
      <c r="CX4939" s="1"/>
      <c r="DC4939" s="19"/>
      <c r="DL4939" s="13"/>
    </row>
    <row r="4940" spans="101:116" ht="12.75" customHeight="1">
      <c r="CW4940" s="1"/>
      <c r="CX4940" s="1"/>
      <c r="DC4940" s="19"/>
      <c r="DL4940" s="13"/>
    </row>
    <row r="4941" spans="101:116" ht="12.75" customHeight="1">
      <c r="CW4941" s="1"/>
      <c r="CX4941" s="1"/>
      <c r="DC4941" s="19"/>
      <c r="DL4941" s="13"/>
    </row>
    <row r="4942" spans="101:116" ht="12.75" customHeight="1">
      <c r="CW4942" s="1"/>
      <c r="CX4942" s="1"/>
      <c r="DC4942" s="19"/>
      <c r="DL4942" s="13"/>
    </row>
    <row r="4943" spans="101:116" ht="12.75" customHeight="1">
      <c r="CW4943" s="1"/>
      <c r="CX4943" s="1"/>
      <c r="DC4943" s="19"/>
      <c r="DL4943" s="13"/>
    </row>
    <row r="4944" spans="101:116" ht="12.75" customHeight="1">
      <c r="CW4944" s="1"/>
      <c r="CX4944" s="1"/>
      <c r="DC4944" s="19"/>
      <c r="DL4944" s="13"/>
    </row>
    <row r="4945" spans="101:116" ht="12.75" customHeight="1">
      <c r="CW4945" s="1"/>
      <c r="CX4945" s="1"/>
      <c r="DC4945" s="19"/>
      <c r="DL4945" s="13"/>
    </row>
    <row r="4946" spans="101:116" ht="12.75" customHeight="1">
      <c r="CW4946" s="1"/>
      <c r="CX4946" s="1"/>
      <c r="DC4946" s="19"/>
      <c r="DL4946" s="13"/>
    </row>
    <row r="4947" spans="101:116" ht="12.75" customHeight="1">
      <c r="CW4947" s="1"/>
      <c r="CX4947" s="1"/>
      <c r="DC4947" s="19"/>
      <c r="DL4947" s="13"/>
    </row>
    <row r="4948" spans="101:116" ht="12.75" customHeight="1">
      <c r="CW4948" s="1"/>
      <c r="CX4948" s="1"/>
      <c r="DC4948" s="19"/>
      <c r="DL4948" s="13"/>
    </row>
    <row r="4949" spans="101:116" ht="12.75" customHeight="1">
      <c r="CW4949" s="1"/>
      <c r="CX4949" s="1"/>
      <c r="DC4949" s="19"/>
      <c r="DL4949" s="13"/>
    </row>
    <row r="4950" spans="101:116" ht="12.75" customHeight="1">
      <c r="CW4950" s="1"/>
      <c r="CX4950" s="1"/>
      <c r="DC4950" s="19"/>
      <c r="DL4950" s="13"/>
    </row>
    <row r="4951" spans="101:116" ht="12.75" customHeight="1">
      <c r="CW4951" s="1"/>
      <c r="CX4951" s="1"/>
      <c r="DC4951" s="19"/>
      <c r="DL4951" s="13"/>
    </row>
    <row r="4952" spans="101:116" ht="12.75" customHeight="1">
      <c r="CW4952" s="1"/>
      <c r="CX4952" s="1"/>
      <c r="DC4952" s="19"/>
      <c r="DL4952" s="13"/>
    </row>
    <row r="4953" spans="101:116" ht="12.75" customHeight="1">
      <c r="CW4953" s="1"/>
      <c r="CX4953" s="1"/>
      <c r="DC4953" s="19"/>
      <c r="DL4953" s="13"/>
    </row>
    <row r="4954" spans="101:116" ht="12.75" customHeight="1">
      <c r="CW4954" s="1"/>
      <c r="CX4954" s="1"/>
      <c r="DC4954" s="19"/>
      <c r="DL4954" s="13"/>
    </row>
    <row r="4955" spans="101:116" ht="12.75" customHeight="1">
      <c r="CW4955" s="1"/>
      <c r="CX4955" s="1"/>
      <c r="DC4955" s="19"/>
      <c r="DL4955" s="13"/>
    </row>
    <row r="4956" spans="101:116" ht="12.75" customHeight="1">
      <c r="CW4956" s="1"/>
      <c r="CX4956" s="1"/>
      <c r="DC4956" s="19"/>
      <c r="DL4956" s="13"/>
    </row>
    <row r="4957" spans="101:116" ht="12.75" customHeight="1">
      <c r="CW4957" s="1"/>
      <c r="CX4957" s="1"/>
      <c r="DC4957" s="19"/>
      <c r="DL4957" s="13"/>
    </row>
    <row r="4958" spans="101:116" ht="12.75" customHeight="1">
      <c r="CW4958" s="1"/>
      <c r="CX4958" s="1"/>
      <c r="DC4958" s="19"/>
      <c r="DL4958" s="13"/>
    </row>
    <row r="4959" spans="101:116" ht="12.75" customHeight="1">
      <c r="CW4959" s="1"/>
      <c r="CX4959" s="1"/>
      <c r="DC4959" s="19"/>
      <c r="DL4959" s="13"/>
    </row>
    <row r="4960" spans="101:116" ht="12.75" customHeight="1">
      <c r="CW4960" s="1"/>
      <c r="CX4960" s="1"/>
      <c r="DC4960" s="19"/>
      <c r="DL4960" s="13"/>
    </row>
    <row r="4961" spans="101:116" ht="12.75" customHeight="1">
      <c r="CW4961" s="1"/>
      <c r="CX4961" s="1"/>
      <c r="DC4961" s="19"/>
      <c r="DL4961" s="13"/>
    </row>
    <row r="4962" spans="101:116" ht="12.75" customHeight="1">
      <c r="CW4962" s="1"/>
      <c r="CX4962" s="1"/>
      <c r="DC4962" s="19"/>
      <c r="DL4962" s="13"/>
    </row>
    <row r="4963" spans="101:116" ht="12.75" customHeight="1">
      <c r="CW4963" s="1"/>
      <c r="CX4963" s="1"/>
      <c r="DC4963" s="19"/>
      <c r="DL4963" s="13"/>
    </row>
    <row r="4964" spans="101:116" ht="12.75" customHeight="1">
      <c r="CW4964" s="1"/>
      <c r="CX4964" s="1"/>
      <c r="DC4964" s="19"/>
      <c r="DL4964" s="13"/>
    </row>
    <row r="4965" spans="101:116" ht="12.75" customHeight="1">
      <c r="CW4965" s="1"/>
      <c r="CX4965" s="1"/>
      <c r="DC4965" s="19"/>
      <c r="DL4965" s="13"/>
    </row>
    <row r="4966" spans="101:116" ht="12.75" customHeight="1">
      <c r="CW4966" s="1"/>
      <c r="CX4966" s="1"/>
      <c r="DC4966" s="19"/>
      <c r="DL4966" s="13"/>
    </row>
    <row r="4967" spans="101:116" ht="12.75" customHeight="1">
      <c r="CW4967" s="1"/>
      <c r="CX4967" s="1"/>
      <c r="DC4967" s="19"/>
      <c r="DL4967" s="13"/>
    </row>
    <row r="4968" spans="101:116" ht="12.75" customHeight="1">
      <c r="CW4968" s="1"/>
      <c r="CX4968" s="1"/>
      <c r="DC4968" s="19"/>
      <c r="DL4968" s="13"/>
    </row>
    <row r="4969" spans="101:116" ht="12.75" customHeight="1">
      <c r="CW4969" s="1"/>
      <c r="CX4969" s="1"/>
      <c r="DC4969" s="19"/>
      <c r="DL4969" s="13"/>
    </row>
    <row r="4970" spans="101:116" ht="12.75" customHeight="1">
      <c r="CW4970" s="1"/>
      <c r="CX4970" s="1"/>
      <c r="DC4970" s="19"/>
      <c r="DL4970" s="13"/>
    </row>
    <row r="4971" spans="101:116" ht="12.75" customHeight="1">
      <c r="CW4971" s="1"/>
      <c r="CX4971" s="1"/>
      <c r="DC4971" s="19"/>
      <c r="DL4971" s="13"/>
    </row>
    <row r="4972" spans="101:116" ht="12.75" customHeight="1">
      <c r="CW4972" s="1"/>
      <c r="CX4972" s="1"/>
      <c r="DC4972" s="19"/>
      <c r="DL4972" s="13"/>
    </row>
    <row r="4973" spans="101:116" ht="12.75" customHeight="1">
      <c r="CW4973" s="1"/>
      <c r="CX4973" s="1"/>
      <c r="DC4973" s="19"/>
      <c r="DL4973" s="13"/>
    </row>
    <row r="4974" spans="101:116" ht="12.75" customHeight="1">
      <c r="CW4974" s="1"/>
      <c r="CX4974" s="1"/>
      <c r="DC4974" s="19"/>
      <c r="DL4974" s="13"/>
    </row>
    <row r="4975" spans="101:116" ht="12.75" customHeight="1">
      <c r="CW4975" s="1"/>
      <c r="DC4975" s="19"/>
      <c r="DL4975" s="13"/>
    </row>
    <row r="4976" spans="101:116" ht="12.75" customHeight="1">
      <c r="CW4976" s="1"/>
      <c r="DC4976" s="19"/>
      <c r="DL4976" s="13"/>
    </row>
    <row r="4977" spans="101:116" ht="12.75" customHeight="1">
      <c r="CW4977" s="1"/>
      <c r="DC4977" s="19"/>
      <c r="DL4977" s="13"/>
    </row>
    <row r="4978" spans="101:116" ht="12.75" customHeight="1">
      <c r="CW4978" s="1"/>
      <c r="DC4978" s="19"/>
      <c r="DL4978" s="13"/>
    </row>
    <row r="4979" spans="101:116" ht="12.75" customHeight="1">
      <c r="CW4979" s="1"/>
      <c r="DC4979" s="19"/>
      <c r="DL4979" s="13"/>
    </row>
    <row r="4980" spans="101:116" ht="12.75" customHeight="1">
      <c r="CW4980" s="1"/>
      <c r="DC4980" s="19"/>
      <c r="DL4980" s="13"/>
    </row>
    <row r="4981" spans="101:116" ht="12.75" customHeight="1">
      <c r="CW4981" s="1"/>
      <c r="DC4981" s="19"/>
      <c r="DL4981" s="13"/>
    </row>
    <row r="4982" spans="101:116" ht="12.75" customHeight="1">
      <c r="CW4982" s="1"/>
      <c r="DC4982" s="19"/>
      <c r="DL4982" s="13"/>
    </row>
    <row r="4983" spans="101:116" ht="12.75" customHeight="1">
      <c r="CW4983" s="1"/>
      <c r="DC4983" s="19"/>
      <c r="DL4983" s="13"/>
    </row>
    <row r="4984" spans="101:116" ht="12.75" customHeight="1">
      <c r="CW4984" s="1"/>
      <c r="DC4984" s="19"/>
      <c r="DL4984" s="13"/>
    </row>
    <row r="4985" spans="101:116" ht="12.75" customHeight="1">
      <c r="CW4985" s="1"/>
      <c r="DC4985" s="19"/>
      <c r="DL4985" s="13"/>
    </row>
    <row r="4986" spans="101:116" ht="12.75" customHeight="1">
      <c r="CW4986" s="1"/>
      <c r="DC4986" s="19"/>
      <c r="DL4986" s="13"/>
    </row>
    <row r="4987" spans="101:116" ht="12.75" customHeight="1">
      <c r="CW4987" s="1"/>
      <c r="DC4987" s="19"/>
      <c r="DL4987" s="13"/>
    </row>
    <row r="4988" spans="101:116" ht="12.75" customHeight="1">
      <c r="CW4988" s="1"/>
      <c r="DC4988" s="19"/>
      <c r="DL4988" s="13"/>
    </row>
    <row r="4989" spans="101:116" ht="12.75" customHeight="1">
      <c r="CW4989" s="1"/>
      <c r="DC4989" s="19"/>
      <c r="DL4989" s="13"/>
    </row>
    <row r="4990" spans="101:116" ht="12.75" customHeight="1">
      <c r="CW4990" s="1"/>
      <c r="DC4990" s="19"/>
      <c r="DL4990" s="13"/>
    </row>
    <row r="4991" spans="101:116" ht="12.75" customHeight="1">
      <c r="CW4991" s="1"/>
      <c r="DC4991" s="19"/>
      <c r="DL4991" s="13"/>
    </row>
    <row r="4992" spans="101:116" ht="12.75" customHeight="1">
      <c r="CW4992" s="1"/>
      <c r="DC4992" s="19"/>
      <c r="DL4992" s="13"/>
    </row>
    <row r="4993" spans="101:116" ht="12.75" customHeight="1">
      <c r="CW4993" s="1"/>
      <c r="DC4993" s="19"/>
      <c r="DL4993" s="13"/>
    </row>
    <row r="4994" spans="101:116" ht="12.75" customHeight="1">
      <c r="CW4994" s="1"/>
      <c r="DC4994" s="19"/>
      <c r="DL4994" s="13"/>
    </row>
    <row r="4995" spans="101:116" ht="12.75" customHeight="1">
      <c r="CW4995" s="1"/>
      <c r="DC4995" s="19"/>
      <c r="DL4995" s="13"/>
    </row>
    <row r="4996" spans="101:116" ht="12.75" customHeight="1">
      <c r="CW4996" s="1"/>
      <c r="DC4996" s="19"/>
      <c r="DL4996" s="13"/>
    </row>
    <row r="4997" spans="101:116" ht="12.75" customHeight="1">
      <c r="CW4997" s="1"/>
      <c r="DC4997" s="19"/>
      <c r="DL4997" s="13"/>
    </row>
    <row r="4998" spans="101:116" ht="12.75" customHeight="1">
      <c r="CW4998" s="1"/>
      <c r="DC4998" s="19"/>
      <c r="DL4998" s="13"/>
    </row>
    <row r="4999" spans="101:116" ht="12.75" customHeight="1">
      <c r="CW4999" s="1"/>
      <c r="DC4999" s="19"/>
      <c r="DL4999" s="13"/>
    </row>
    <row r="5000" spans="101:116" ht="12.75" customHeight="1">
      <c r="CW5000" s="1"/>
      <c r="DC5000" s="19"/>
      <c r="DL5000" s="13"/>
    </row>
    <row r="5001" spans="101:116" ht="12.75" customHeight="1">
      <c r="CW5001" s="1"/>
      <c r="DC5001" s="19"/>
      <c r="DL5001" s="13"/>
    </row>
    <row r="5002" spans="101:116" ht="12.75" customHeight="1">
      <c r="CW5002" s="1"/>
      <c r="DC5002" s="19"/>
      <c r="DL5002" s="13"/>
    </row>
    <row r="5003" spans="101:116" ht="12.75" customHeight="1">
      <c r="CW5003" s="1"/>
      <c r="DC5003" s="19"/>
      <c r="DL5003" s="13"/>
    </row>
    <row r="5004" spans="101:116" ht="12.75" customHeight="1">
      <c r="CW5004" s="1"/>
      <c r="DC5004" s="19"/>
      <c r="DL5004" s="13"/>
    </row>
    <row r="5005" spans="101:116" ht="12.75" customHeight="1">
      <c r="CW5005" s="1"/>
      <c r="DC5005" s="19"/>
      <c r="DL5005" s="13"/>
    </row>
    <row r="5006" spans="101:116" ht="12.75" customHeight="1">
      <c r="CW5006" s="1"/>
      <c r="DC5006" s="19"/>
      <c r="DL5006" s="13"/>
    </row>
    <row r="5007" spans="101:116" ht="12.75" customHeight="1">
      <c r="CW5007" s="1"/>
      <c r="DC5007" s="19"/>
      <c r="DL5007" s="13"/>
    </row>
    <row r="5008" spans="101:116" ht="12.75" customHeight="1">
      <c r="DC5008" s="19"/>
      <c r="DL5008" s="13"/>
    </row>
    <row r="5009" spans="107:116" ht="12.75" customHeight="1">
      <c r="DC5009" s="19"/>
      <c r="DL5009" s="13"/>
    </row>
    <row r="5010" spans="107:116" ht="12.75" customHeight="1">
      <c r="DC5010" s="19"/>
      <c r="DL5010" s="13"/>
    </row>
    <row r="5011" spans="107:116" ht="12.75" customHeight="1">
      <c r="DC5011" s="19"/>
      <c r="DL5011" s="13"/>
    </row>
    <row r="5012" spans="107:116" ht="12.75" customHeight="1">
      <c r="DC5012" s="19"/>
      <c r="DL5012" s="13"/>
    </row>
    <row r="5013" spans="107:116" ht="12.75" customHeight="1">
      <c r="DC5013" s="19"/>
      <c r="DL5013" s="13"/>
    </row>
    <row r="5014" spans="107:116" ht="12.75" customHeight="1">
      <c r="DC5014" s="19"/>
      <c r="DL5014" s="13"/>
    </row>
    <row r="5015" spans="107:116" ht="12.75" customHeight="1">
      <c r="DC5015" s="19"/>
      <c r="DL5015" s="13"/>
    </row>
    <row r="5016" spans="107:116" ht="12.75" customHeight="1">
      <c r="DC5016" s="19"/>
      <c r="DL5016" s="13"/>
    </row>
    <row r="5017" spans="107:116" ht="12.75" customHeight="1">
      <c r="DC5017" s="19"/>
      <c r="DL5017" s="13"/>
    </row>
    <row r="5018" spans="107:116" ht="12.75" customHeight="1">
      <c r="DC5018" s="19"/>
      <c r="DL5018" s="13"/>
    </row>
    <row r="5019" spans="107:116" ht="12.75" customHeight="1">
      <c r="DC5019" s="19"/>
      <c r="DL5019" s="13"/>
    </row>
    <row r="5020" spans="107:116" ht="12.75" customHeight="1">
      <c r="DC5020" s="19"/>
      <c r="DL5020" s="13"/>
    </row>
    <row r="5021" spans="107:116" ht="12.75" customHeight="1">
      <c r="DC5021" s="19"/>
      <c r="DL5021" s="13"/>
    </row>
    <row r="5022" spans="107:116" ht="12.75" customHeight="1">
      <c r="DC5022" s="19"/>
      <c r="DL5022" s="13"/>
    </row>
    <row r="5023" spans="107:116" ht="12.75" customHeight="1">
      <c r="DC5023" s="19"/>
      <c r="DL5023" s="13"/>
    </row>
    <row r="5024" spans="107:116" ht="12.75" customHeight="1">
      <c r="DC5024" s="19"/>
      <c r="DL5024" s="13"/>
    </row>
    <row r="5025" spans="107:116" ht="12.75" customHeight="1">
      <c r="DC5025" s="19"/>
      <c r="DL5025" s="13"/>
    </row>
    <row r="5026" spans="107:116" ht="12.75" customHeight="1">
      <c r="DC5026" s="19"/>
      <c r="DL5026" s="13"/>
    </row>
    <row r="5027" spans="107:116" ht="12.75" customHeight="1">
      <c r="DC5027" s="19"/>
      <c r="DL5027" s="13"/>
    </row>
    <row r="5028" spans="107:116" ht="12.75" customHeight="1">
      <c r="DC5028" s="19"/>
      <c r="DL5028" s="13"/>
    </row>
    <row r="5029" spans="107:116" ht="12.75" customHeight="1">
      <c r="DC5029" s="19"/>
      <c r="DL5029" s="13"/>
    </row>
    <row r="5030" spans="107:116" ht="12.75" customHeight="1">
      <c r="DC5030" s="19"/>
      <c r="DL5030" s="13"/>
    </row>
    <row r="5031" spans="107:116" ht="12.75" customHeight="1">
      <c r="DC5031" s="19"/>
      <c r="DL5031" s="13"/>
    </row>
    <row r="5032" spans="107:116" ht="12.75" customHeight="1">
      <c r="DC5032" s="19"/>
      <c r="DL5032" s="13"/>
    </row>
    <row r="5033" spans="107:116" ht="12.75" customHeight="1">
      <c r="DC5033" s="19"/>
      <c r="DL5033" s="13"/>
    </row>
    <row r="5034" spans="107:116" ht="12.75" customHeight="1">
      <c r="DC5034" s="19"/>
      <c r="DL5034" s="13"/>
    </row>
    <row r="5035" spans="107:116" ht="12.75" customHeight="1">
      <c r="DC5035" s="19"/>
      <c r="DL5035" s="13"/>
    </row>
    <row r="5036" spans="107:116" ht="12.75" customHeight="1">
      <c r="DC5036" s="19"/>
      <c r="DL5036" s="13"/>
    </row>
    <row r="5037" spans="107:116" ht="12.75" customHeight="1">
      <c r="DC5037" s="19"/>
      <c r="DL5037" s="13"/>
    </row>
    <row r="5038" spans="107:116" ht="12.75" customHeight="1">
      <c r="DC5038" s="19"/>
      <c r="DL5038" s="13"/>
    </row>
    <row r="5039" spans="107:116" ht="12.75" customHeight="1">
      <c r="DC5039" s="19"/>
      <c r="DL5039" s="13"/>
    </row>
    <row r="5040" spans="107:116" ht="12.75" customHeight="1">
      <c r="DC5040" s="19"/>
      <c r="DL5040" s="13"/>
    </row>
    <row r="5041" spans="107:116" ht="12.75" customHeight="1">
      <c r="DC5041" s="19"/>
      <c r="DL5041" s="13"/>
    </row>
    <row r="5042" spans="107:116" ht="12.75" customHeight="1">
      <c r="DC5042" s="19"/>
      <c r="DL5042" s="13"/>
    </row>
    <row r="5043" spans="107:116" ht="12.75" customHeight="1">
      <c r="DC5043" s="19"/>
      <c r="DL5043" s="13"/>
    </row>
    <row r="5044" spans="107:116" ht="12.75" customHeight="1">
      <c r="DC5044" s="19"/>
      <c r="DL5044" s="13"/>
    </row>
    <row r="5045" spans="107:116" ht="12.75" customHeight="1">
      <c r="DC5045" s="19"/>
      <c r="DL5045" s="13"/>
    </row>
    <row r="5046" spans="107:116" ht="12.75" customHeight="1">
      <c r="DC5046" s="19"/>
      <c r="DL5046" s="13"/>
    </row>
    <row r="5047" spans="107:116" ht="12.75" customHeight="1">
      <c r="DC5047" s="19"/>
      <c r="DL5047" s="13"/>
    </row>
    <row r="5048" spans="107:116" ht="12.75" customHeight="1">
      <c r="DC5048" s="19"/>
      <c r="DL5048" s="13"/>
    </row>
    <row r="5049" spans="107:116" ht="12.75" customHeight="1">
      <c r="DC5049" s="19"/>
      <c r="DL5049" s="13"/>
    </row>
    <row r="5050" spans="107:116" ht="12.75" customHeight="1">
      <c r="DC5050" s="19"/>
      <c r="DL5050" s="13"/>
    </row>
    <row r="5051" spans="107:116" ht="12.75" customHeight="1">
      <c r="DC5051" s="19"/>
      <c r="DL5051" s="13"/>
    </row>
    <row r="5052" spans="107:116" ht="12.75" customHeight="1">
      <c r="DC5052" s="19"/>
      <c r="DL5052" s="13"/>
    </row>
    <row r="5053" spans="107:116" ht="12.75" customHeight="1">
      <c r="DC5053" s="19"/>
      <c r="DL5053" s="13"/>
    </row>
    <row r="5054" spans="107:116" ht="12.75" customHeight="1">
      <c r="DC5054" s="19"/>
      <c r="DL5054" s="13"/>
    </row>
    <row r="5055" spans="107:116" ht="12.75" customHeight="1">
      <c r="DC5055" s="19"/>
      <c r="DL5055" s="13"/>
    </row>
    <row r="5056" spans="107:116" ht="12.75" customHeight="1">
      <c r="DC5056" s="19"/>
      <c r="DL5056" s="13"/>
    </row>
    <row r="5057" spans="107:116" ht="12.75" customHeight="1">
      <c r="DC5057" s="19"/>
      <c r="DL5057" s="13"/>
    </row>
    <row r="5058" spans="107:116" ht="12.75" customHeight="1">
      <c r="DC5058" s="19"/>
      <c r="DL5058" s="13"/>
    </row>
    <row r="5059" spans="107:116" ht="12.75" customHeight="1">
      <c r="DC5059" s="19"/>
      <c r="DL5059" s="13"/>
    </row>
    <row r="5060" spans="107:116" ht="12.75" customHeight="1">
      <c r="DC5060" s="19"/>
      <c r="DL5060" s="13"/>
    </row>
    <row r="5061" spans="107:116" ht="12.75" customHeight="1">
      <c r="DC5061" s="19"/>
      <c r="DL5061" s="13"/>
    </row>
    <row r="5062" spans="107:116" ht="12.75" customHeight="1">
      <c r="DC5062" s="19"/>
      <c r="DL5062" s="13"/>
    </row>
    <row r="5063" spans="107:116" ht="12.75" customHeight="1">
      <c r="DC5063" s="19"/>
      <c r="DL5063" s="13"/>
    </row>
    <row r="5064" spans="107:116" ht="12.75" customHeight="1">
      <c r="DC5064" s="19"/>
      <c r="DL5064" s="13"/>
    </row>
    <row r="5065" spans="107:116" ht="12.75" customHeight="1">
      <c r="DC5065" s="19"/>
      <c r="DL5065" s="13"/>
    </row>
    <row r="5066" spans="107:116" ht="12.75" customHeight="1">
      <c r="DC5066" s="19"/>
      <c r="DL5066" s="13"/>
    </row>
    <row r="5067" spans="107:116" ht="12.75" customHeight="1">
      <c r="DC5067" s="19"/>
      <c r="DL5067" s="13"/>
    </row>
    <row r="5068" spans="107:116" ht="12.75" customHeight="1">
      <c r="DC5068" s="19"/>
      <c r="DL5068" s="13"/>
    </row>
    <row r="5069" spans="107:116" ht="12.75" customHeight="1">
      <c r="DC5069" s="19"/>
      <c r="DL5069" s="13"/>
    </row>
    <row r="5070" spans="107:116" ht="12.75" customHeight="1">
      <c r="DC5070" s="19"/>
      <c r="DL5070" s="13"/>
    </row>
    <row r="5071" spans="107:116" ht="12.75" customHeight="1">
      <c r="DC5071" s="19"/>
      <c r="DL5071" s="13"/>
    </row>
    <row r="5072" spans="107:116" ht="12.75" customHeight="1">
      <c r="DC5072" s="19"/>
      <c r="DL5072" s="13"/>
    </row>
    <row r="5073" spans="107:116" ht="12.75" customHeight="1">
      <c r="DC5073" s="19"/>
      <c r="DL5073" s="13"/>
    </row>
    <row r="5074" spans="107:116" ht="12.75" customHeight="1">
      <c r="DC5074" s="19"/>
      <c r="DL5074" s="13"/>
    </row>
    <row r="5075" spans="107:116" ht="12.75" customHeight="1">
      <c r="DC5075" s="19"/>
      <c r="DL5075" s="13"/>
    </row>
    <row r="5076" spans="107:116" ht="12.75" customHeight="1">
      <c r="DC5076" s="19"/>
      <c r="DL5076" s="13"/>
    </row>
    <row r="5077" spans="107:116" ht="12.75" customHeight="1">
      <c r="DC5077" s="19"/>
      <c r="DL5077" s="13"/>
    </row>
    <row r="5078" spans="107:116" ht="12.75" customHeight="1">
      <c r="DC5078" s="19"/>
      <c r="DL5078" s="13"/>
    </row>
    <row r="5079" spans="107:116" ht="12.75" customHeight="1">
      <c r="DC5079" s="19"/>
      <c r="DL5079" s="13"/>
    </row>
    <row r="5080" spans="107:116" ht="12.75" customHeight="1">
      <c r="DC5080" s="19"/>
      <c r="DL5080" s="13"/>
    </row>
    <row r="5081" spans="107:116" ht="12.75" customHeight="1">
      <c r="DC5081" s="19"/>
      <c r="DL5081" s="13"/>
    </row>
    <row r="5082" spans="107:116" ht="12.75" customHeight="1">
      <c r="DC5082" s="19"/>
      <c r="DL5082" s="13"/>
    </row>
    <row r="5083" spans="107:116" ht="12.75" customHeight="1">
      <c r="DC5083" s="19"/>
      <c r="DL5083" s="13"/>
    </row>
    <row r="5084" spans="107:116" ht="12.75" customHeight="1">
      <c r="DC5084" s="19"/>
      <c r="DL5084" s="13"/>
    </row>
    <row r="5085" spans="107:116" ht="12.75" customHeight="1">
      <c r="DC5085" s="19"/>
      <c r="DL5085" s="13"/>
    </row>
    <row r="5086" spans="107:116" ht="12.75" customHeight="1">
      <c r="DC5086" s="19"/>
      <c r="DL5086" s="13"/>
    </row>
    <row r="5087" spans="107:116" ht="12.75" customHeight="1">
      <c r="DC5087" s="19"/>
      <c r="DL5087" s="13"/>
    </row>
    <row r="5088" spans="107:116" ht="12.75" customHeight="1">
      <c r="DC5088" s="19"/>
      <c r="DL5088" s="13"/>
    </row>
    <row r="5089" spans="101:116" ht="12.75" customHeight="1">
      <c r="DC5089" s="19"/>
      <c r="DL5089" s="13"/>
    </row>
    <row r="5090" spans="101:116" ht="12.75" customHeight="1">
      <c r="DC5090" s="19"/>
      <c r="DL5090" s="13"/>
    </row>
    <row r="5091" spans="101:116" ht="12.75" customHeight="1">
      <c r="DC5091" s="19"/>
      <c r="DL5091" s="13"/>
    </row>
    <row r="5092" spans="101:116" ht="12.75" customHeight="1">
      <c r="DC5092" s="19"/>
      <c r="DL5092" s="13"/>
    </row>
    <row r="5093" spans="101:116" ht="12.75" customHeight="1">
      <c r="DC5093" s="19"/>
      <c r="DL5093" s="13"/>
    </row>
    <row r="5094" spans="101:116" ht="12.75" customHeight="1">
      <c r="DC5094" s="19"/>
      <c r="DL5094" s="13"/>
    </row>
    <row r="5095" spans="101:116" ht="12.75" customHeight="1">
      <c r="DC5095" s="19"/>
      <c r="DL5095" s="13"/>
    </row>
    <row r="5096" spans="101:116" ht="12.75" customHeight="1">
      <c r="DC5096" s="19"/>
      <c r="DL5096" s="13"/>
    </row>
    <row r="5097" spans="101:116" ht="12.75" customHeight="1">
      <c r="DC5097" s="19"/>
      <c r="DL5097" s="13"/>
    </row>
    <row r="5098" spans="101:116" ht="12.75" customHeight="1">
      <c r="DC5098" s="19"/>
      <c r="DL5098" s="13"/>
    </row>
    <row r="5099" spans="101:116" ht="12.75" customHeight="1">
      <c r="CW5099" s="1"/>
      <c r="DC5099" s="19"/>
      <c r="DL5099" s="13"/>
    </row>
    <row r="5100" spans="101:116" ht="12.75" customHeight="1">
      <c r="CW5100" s="1"/>
      <c r="DC5100" s="19"/>
      <c r="DL5100" s="13"/>
    </row>
    <row r="5101" spans="101:116" ht="12.75" customHeight="1">
      <c r="CW5101" s="1"/>
      <c r="DC5101" s="19"/>
      <c r="DL5101" s="13"/>
    </row>
    <row r="5102" spans="101:116" ht="12.75" customHeight="1">
      <c r="CW5102" s="1"/>
      <c r="DC5102" s="19"/>
      <c r="DL5102" s="13"/>
    </row>
    <row r="5103" spans="101:116" ht="12.75" customHeight="1">
      <c r="CW5103" s="1"/>
      <c r="DC5103" s="19"/>
      <c r="DL5103" s="13"/>
    </row>
    <row r="5104" spans="101:116" ht="12.75" customHeight="1">
      <c r="CW5104" s="1"/>
      <c r="DC5104" s="19"/>
      <c r="DL5104" s="13"/>
    </row>
    <row r="5105" spans="101:116" ht="12.75" customHeight="1">
      <c r="CW5105" s="1"/>
      <c r="DC5105" s="19"/>
      <c r="DL5105" s="13"/>
    </row>
    <row r="5106" spans="101:116" ht="12.75" customHeight="1">
      <c r="CW5106" s="1"/>
      <c r="DC5106" s="19"/>
      <c r="DL5106" s="13"/>
    </row>
    <row r="5107" spans="101:116" ht="12.75" customHeight="1">
      <c r="CW5107" s="1"/>
      <c r="DC5107" s="19"/>
      <c r="DL5107" s="13"/>
    </row>
    <row r="5108" spans="101:116" ht="12.75" customHeight="1">
      <c r="CW5108" s="1"/>
      <c r="DC5108" s="19"/>
      <c r="DL5108" s="13"/>
    </row>
    <row r="5109" spans="101:116" ht="12.75" customHeight="1">
      <c r="CW5109" s="1"/>
      <c r="DC5109" s="19"/>
      <c r="DL5109" s="13"/>
    </row>
    <row r="5110" spans="101:116" ht="12.75" customHeight="1">
      <c r="CW5110" s="139"/>
      <c r="DC5110" s="19"/>
      <c r="DL5110" s="13"/>
    </row>
    <row r="5111" spans="101:116" ht="12.75" customHeight="1">
      <c r="CW5111" s="1"/>
      <c r="DC5111" s="19"/>
      <c r="DL5111" s="13"/>
    </row>
    <row r="5112" spans="101:116" ht="12.75" customHeight="1">
      <c r="CW5112" s="1"/>
      <c r="DC5112" s="19"/>
      <c r="DL5112" s="13"/>
    </row>
    <row r="5113" spans="101:116" ht="12.75" customHeight="1">
      <c r="CW5113" s="1"/>
      <c r="DC5113" s="19"/>
      <c r="DL5113" s="13"/>
    </row>
    <row r="5114" spans="101:116" ht="12.75" customHeight="1">
      <c r="CW5114" s="1"/>
      <c r="DC5114" s="19"/>
      <c r="DL5114" s="13"/>
    </row>
    <row r="5115" spans="101:116" ht="12.75" customHeight="1">
      <c r="CW5115" s="1"/>
      <c r="DC5115" s="19"/>
      <c r="DL5115" s="13"/>
    </row>
    <row r="5116" spans="101:116" ht="12.75" customHeight="1">
      <c r="CW5116" s="1"/>
      <c r="DC5116" s="19"/>
      <c r="DL5116" s="13"/>
    </row>
    <row r="5117" spans="101:116" ht="12.75" customHeight="1">
      <c r="CW5117" s="1"/>
      <c r="DC5117" s="19"/>
      <c r="DL5117" s="13"/>
    </row>
    <row r="5118" spans="101:116" ht="12.75" customHeight="1">
      <c r="CW5118" s="1"/>
      <c r="DC5118" s="19"/>
      <c r="DL5118" s="13"/>
    </row>
    <row r="5119" spans="101:116" ht="12.75" customHeight="1">
      <c r="CW5119" s="1"/>
      <c r="DC5119" s="19"/>
      <c r="DL5119" s="13"/>
    </row>
    <row r="5120" spans="101:116" ht="12.75" customHeight="1">
      <c r="CW5120" s="1"/>
      <c r="DC5120" s="19"/>
      <c r="DL5120" s="13"/>
    </row>
    <row r="5121" spans="101:116" ht="12.75" customHeight="1">
      <c r="CW5121" s="1"/>
      <c r="DC5121" s="19"/>
      <c r="DL5121" s="13"/>
    </row>
    <row r="5122" spans="101:116" ht="12.75" customHeight="1">
      <c r="CW5122" s="1"/>
      <c r="DC5122" s="19"/>
      <c r="DL5122" s="13"/>
    </row>
    <row r="5123" spans="101:116" ht="12.75" customHeight="1">
      <c r="CW5123" s="1"/>
      <c r="DC5123" s="19"/>
      <c r="DL5123" s="13"/>
    </row>
    <row r="5124" spans="101:116" ht="12.75" customHeight="1">
      <c r="CW5124" s="1"/>
      <c r="DC5124" s="19"/>
      <c r="DL5124" s="13"/>
    </row>
    <row r="5125" spans="101:116" ht="12.75" customHeight="1">
      <c r="CW5125" s="1"/>
      <c r="DC5125" s="19"/>
      <c r="DL5125" s="13"/>
    </row>
    <row r="5126" spans="101:116" ht="12.75" customHeight="1">
      <c r="CW5126" s="1"/>
      <c r="DC5126" s="19"/>
      <c r="DL5126" s="13"/>
    </row>
    <row r="5127" spans="101:116" ht="12.75" customHeight="1">
      <c r="CW5127" s="1"/>
      <c r="DC5127" s="19"/>
      <c r="DL5127" s="13"/>
    </row>
    <row r="5128" spans="101:116" ht="12.75" customHeight="1">
      <c r="CW5128" s="1"/>
      <c r="DC5128" s="19"/>
      <c r="DL5128" s="13"/>
    </row>
    <row r="5129" spans="101:116" ht="12.75" customHeight="1">
      <c r="DC5129" s="19"/>
      <c r="DL5129" s="13"/>
    </row>
    <row r="5130" spans="101:116" ht="12.75" customHeight="1">
      <c r="DC5130" s="19"/>
      <c r="DL5130" s="13"/>
    </row>
    <row r="5131" spans="101:116" ht="12.75" customHeight="1">
      <c r="DC5131" s="19"/>
      <c r="DL5131" s="13"/>
    </row>
    <row r="5132" spans="101:116" ht="12.75" customHeight="1">
      <c r="DC5132" s="19"/>
      <c r="DL5132" s="13"/>
    </row>
    <row r="5133" spans="101:116" ht="12.75" customHeight="1">
      <c r="DC5133" s="19"/>
      <c r="DL5133" s="13"/>
    </row>
    <row r="5134" spans="101:116" ht="12.75" customHeight="1">
      <c r="DC5134" s="19"/>
      <c r="DL5134" s="13"/>
    </row>
    <row r="5135" spans="101:116" ht="12.75" customHeight="1">
      <c r="DC5135" s="19"/>
      <c r="DL5135" s="13"/>
    </row>
    <row r="5136" spans="101:116" ht="12.75" customHeight="1">
      <c r="DC5136" s="19"/>
      <c r="DL5136" s="13"/>
    </row>
    <row r="5137" spans="107:116" ht="12.75" customHeight="1">
      <c r="DC5137" s="19"/>
      <c r="DL5137" s="13"/>
    </row>
    <row r="5138" spans="107:116" ht="12.75" customHeight="1">
      <c r="DC5138" s="19"/>
      <c r="DL5138" s="13"/>
    </row>
    <row r="5139" spans="107:116" ht="12.75" customHeight="1">
      <c r="DC5139" s="19"/>
      <c r="DL5139" s="13"/>
    </row>
    <row r="5140" spans="107:116" ht="12.75" customHeight="1">
      <c r="DC5140" s="19"/>
      <c r="DL5140" s="13"/>
    </row>
    <row r="5141" spans="107:116" ht="12.75" customHeight="1">
      <c r="DC5141" s="19"/>
      <c r="DL5141" s="13"/>
    </row>
    <row r="5142" spans="107:116" ht="12.75" customHeight="1">
      <c r="DC5142" s="19"/>
      <c r="DL5142" s="13"/>
    </row>
    <row r="5143" spans="107:116" ht="12.75" customHeight="1">
      <c r="DC5143" s="19"/>
      <c r="DL5143" s="13"/>
    </row>
    <row r="5144" spans="107:116" ht="12.75" customHeight="1">
      <c r="DC5144" s="19"/>
      <c r="DL5144" s="13"/>
    </row>
    <row r="5145" spans="107:116" ht="12.75" customHeight="1">
      <c r="DC5145" s="19"/>
      <c r="DL5145" s="13"/>
    </row>
    <row r="5146" spans="107:116" ht="12.75" customHeight="1">
      <c r="DC5146" s="19"/>
      <c r="DL5146" s="13"/>
    </row>
    <row r="5147" spans="107:116" ht="12.75" customHeight="1">
      <c r="DC5147" s="19"/>
      <c r="DL5147" s="13"/>
    </row>
    <row r="5148" spans="107:116" ht="12.75" customHeight="1">
      <c r="DC5148" s="19"/>
      <c r="DL5148" s="13"/>
    </row>
    <row r="5149" spans="107:116" ht="12.75" customHeight="1">
      <c r="DC5149" s="19"/>
      <c r="DL5149" s="13"/>
    </row>
    <row r="5150" spans="107:116" ht="12.75" customHeight="1">
      <c r="DC5150" s="19"/>
      <c r="DL5150" s="13"/>
    </row>
    <row r="5151" spans="107:116" ht="12.75" customHeight="1">
      <c r="DC5151" s="19"/>
      <c r="DL5151" s="13"/>
    </row>
    <row r="5152" spans="107:116" ht="12.75" customHeight="1">
      <c r="DC5152" s="19"/>
      <c r="DL5152" s="13"/>
    </row>
    <row r="5153" spans="107:116" ht="12.75" customHeight="1">
      <c r="DC5153" s="19"/>
      <c r="DL5153" s="13"/>
    </row>
    <row r="5154" spans="107:116" ht="12.75" customHeight="1">
      <c r="DC5154" s="19"/>
      <c r="DL5154" s="13"/>
    </row>
    <row r="5155" spans="107:116" ht="12.75" customHeight="1">
      <c r="DC5155" s="19"/>
      <c r="DL5155" s="13"/>
    </row>
    <row r="5156" spans="107:116" ht="12.75" customHeight="1">
      <c r="DC5156" s="19"/>
      <c r="DL5156" s="13"/>
    </row>
    <row r="5157" spans="107:116" ht="12.75" customHeight="1">
      <c r="DC5157" s="19"/>
      <c r="DL5157" s="13"/>
    </row>
    <row r="5158" spans="107:116" ht="12.75" customHeight="1">
      <c r="DC5158" s="19"/>
      <c r="DL5158" s="13"/>
    </row>
    <row r="5159" spans="107:116" ht="12.75" customHeight="1">
      <c r="DC5159" s="19"/>
      <c r="DL5159" s="13"/>
    </row>
    <row r="5160" spans="107:116" ht="12.75" customHeight="1">
      <c r="DC5160" s="19"/>
      <c r="DL5160" s="13"/>
    </row>
    <row r="5161" spans="107:116" ht="12.75" customHeight="1">
      <c r="DC5161" s="19"/>
      <c r="DL5161" s="13"/>
    </row>
    <row r="5162" spans="107:116" ht="12.75" customHeight="1">
      <c r="DC5162" s="19"/>
      <c r="DL5162" s="13"/>
    </row>
    <row r="5163" spans="107:116" ht="12.75" customHeight="1">
      <c r="DC5163" s="19"/>
      <c r="DL5163" s="13"/>
    </row>
    <row r="5164" spans="107:116" ht="12.75" customHeight="1">
      <c r="DC5164" s="19"/>
      <c r="DL5164" s="13"/>
    </row>
    <row r="5165" spans="107:116" ht="12.75" customHeight="1">
      <c r="DC5165" s="19"/>
      <c r="DL5165" s="13"/>
    </row>
    <row r="5166" spans="107:116" ht="12.75" customHeight="1">
      <c r="DC5166" s="19"/>
      <c r="DL5166" s="13"/>
    </row>
    <row r="5167" spans="107:116" ht="12.75" customHeight="1">
      <c r="DC5167" s="19"/>
      <c r="DL5167" s="13"/>
    </row>
    <row r="5168" spans="107:116" ht="12.75" customHeight="1">
      <c r="DC5168" s="19"/>
      <c r="DL5168" s="13"/>
    </row>
    <row r="5169" spans="107:116" ht="12.75" customHeight="1">
      <c r="DC5169" s="19"/>
      <c r="DL5169" s="13"/>
    </row>
    <row r="5170" spans="107:116" ht="12.75" customHeight="1">
      <c r="DC5170" s="19"/>
      <c r="DL5170" s="13"/>
    </row>
    <row r="5171" spans="107:116" ht="12.75" customHeight="1">
      <c r="DC5171" s="19"/>
      <c r="DL5171" s="13"/>
    </row>
    <row r="5172" spans="107:116" ht="12.75" customHeight="1">
      <c r="DC5172" s="19"/>
      <c r="DL5172" s="13"/>
    </row>
    <row r="5173" spans="107:116" ht="12.75" customHeight="1">
      <c r="DC5173" s="19"/>
      <c r="DL5173" s="13"/>
    </row>
    <row r="5174" spans="107:116" ht="12.75" customHeight="1">
      <c r="DC5174" s="19"/>
      <c r="DL5174" s="13"/>
    </row>
    <row r="5175" spans="107:116" ht="12.75" customHeight="1">
      <c r="DC5175" s="19"/>
      <c r="DL5175" s="13"/>
    </row>
    <row r="5176" spans="107:116" ht="12.75" customHeight="1">
      <c r="DC5176" s="19"/>
      <c r="DL5176" s="13"/>
    </row>
    <row r="5177" spans="107:116" ht="12.75" customHeight="1">
      <c r="DC5177" s="19"/>
      <c r="DL5177" s="13"/>
    </row>
    <row r="5178" spans="107:116" ht="12.75" customHeight="1">
      <c r="DC5178" s="19"/>
      <c r="DL5178" s="13"/>
    </row>
    <row r="5179" spans="107:116" ht="12.75" customHeight="1">
      <c r="DC5179" s="19"/>
      <c r="DL5179" s="13"/>
    </row>
    <row r="5180" spans="107:116" ht="12.75" customHeight="1">
      <c r="DC5180" s="19"/>
      <c r="DL5180" s="13"/>
    </row>
    <row r="5181" spans="107:116" ht="12.75" customHeight="1">
      <c r="DC5181" s="19"/>
      <c r="DL5181" s="13"/>
    </row>
    <row r="5182" spans="107:116" ht="12.75" customHeight="1">
      <c r="DC5182" s="19"/>
      <c r="DL5182" s="13"/>
    </row>
    <row r="5183" spans="107:116" ht="12.75" customHeight="1">
      <c r="DC5183" s="19"/>
      <c r="DL5183" s="13"/>
    </row>
    <row r="5184" spans="107:116" ht="12.75" customHeight="1">
      <c r="DC5184" s="19"/>
      <c r="DL5184" s="13"/>
    </row>
    <row r="5185" spans="107:116" ht="12.75" customHeight="1">
      <c r="DC5185" s="19"/>
      <c r="DL5185" s="13"/>
    </row>
    <row r="5186" spans="107:116" ht="12.75" customHeight="1">
      <c r="DC5186" s="19"/>
      <c r="DL5186" s="13"/>
    </row>
    <row r="5187" spans="107:116" ht="12.75" customHeight="1">
      <c r="DC5187" s="19"/>
      <c r="DL5187" s="13"/>
    </row>
    <row r="5188" spans="107:116" ht="12.75" customHeight="1">
      <c r="DC5188" s="19"/>
      <c r="DL5188" s="13"/>
    </row>
    <row r="5189" spans="107:116" ht="12.75" customHeight="1">
      <c r="DC5189" s="19"/>
      <c r="DL5189" s="13"/>
    </row>
    <row r="5190" spans="107:116" ht="12.75" customHeight="1">
      <c r="DC5190" s="19"/>
      <c r="DL5190" s="13"/>
    </row>
    <row r="5191" spans="107:116" ht="12.75" customHeight="1">
      <c r="DC5191" s="19"/>
      <c r="DL5191" s="13"/>
    </row>
    <row r="5192" spans="107:116" ht="12.75" customHeight="1">
      <c r="DC5192" s="19"/>
      <c r="DL5192" s="13"/>
    </row>
    <row r="5193" spans="107:116" ht="12.75" customHeight="1">
      <c r="DC5193" s="19"/>
      <c r="DL5193" s="13"/>
    </row>
    <row r="5194" spans="107:116" ht="12.75" customHeight="1">
      <c r="DC5194" s="19"/>
      <c r="DL5194" s="13"/>
    </row>
    <row r="5195" spans="107:116" ht="12.75" customHeight="1">
      <c r="DC5195" s="19"/>
      <c r="DL5195" s="13"/>
    </row>
    <row r="5196" spans="107:116" ht="12.75" customHeight="1">
      <c r="DC5196" s="19"/>
      <c r="DL5196" s="13"/>
    </row>
    <row r="5197" spans="107:116" ht="12.75" customHeight="1">
      <c r="DC5197" s="19"/>
      <c r="DL5197" s="13"/>
    </row>
    <row r="5198" spans="107:116" ht="12.75" customHeight="1">
      <c r="DC5198" s="19"/>
      <c r="DL5198" s="13"/>
    </row>
    <row r="5199" spans="107:116" ht="12.75" customHeight="1">
      <c r="DC5199" s="19"/>
      <c r="DL5199" s="13"/>
    </row>
    <row r="5200" spans="107:116" ht="12.75" customHeight="1">
      <c r="DC5200" s="19"/>
      <c r="DL5200" s="13"/>
    </row>
    <row r="5201" spans="107:116" ht="12.75" customHeight="1">
      <c r="DC5201" s="19"/>
      <c r="DL5201" s="13"/>
    </row>
    <row r="5202" spans="107:116" ht="12.75" customHeight="1">
      <c r="DC5202" s="19"/>
      <c r="DL5202" s="13"/>
    </row>
    <row r="5203" spans="107:116" ht="12.75" customHeight="1">
      <c r="DC5203" s="19"/>
      <c r="DL5203" s="13"/>
    </row>
    <row r="5204" spans="107:116" ht="12.75" customHeight="1">
      <c r="DC5204" s="19"/>
      <c r="DL5204" s="13"/>
    </row>
    <row r="5205" spans="107:116" ht="12.75" customHeight="1">
      <c r="DC5205" s="19"/>
      <c r="DL5205" s="13"/>
    </row>
    <row r="5206" spans="107:116" ht="12.75" customHeight="1">
      <c r="DC5206" s="19"/>
      <c r="DL5206" s="13"/>
    </row>
    <row r="5207" spans="107:116" ht="12.75" customHeight="1">
      <c r="DC5207" s="19"/>
      <c r="DL5207" s="13"/>
    </row>
    <row r="5208" spans="107:116" ht="12.75" customHeight="1">
      <c r="DC5208" s="19"/>
      <c r="DL5208" s="13"/>
    </row>
    <row r="5209" spans="107:116" ht="12.75" customHeight="1">
      <c r="DC5209" s="19"/>
      <c r="DL5209" s="13"/>
    </row>
    <row r="5210" spans="107:116" ht="12.75" customHeight="1">
      <c r="DC5210" s="19"/>
      <c r="DL5210" s="13"/>
    </row>
    <row r="5211" spans="107:116" ht="12.75" customHeight="1">
      <c r="DC5211" s="19"/>
      <c r="DL5211" s="13"/>
    </row>
    <row r="5212" spans="107:116" ht="12.75" customHeight="1">
      <c r="DC5212" s="19"/>
      <c r="DL5212" s="13"/>
    </row>
    <row r="5213" spans="107:116" ht="12.75" customHeight="1">
      <c r="DC5213" s="19"/>
      <c r="DL5213" s="13"/>
    </row>
    <row r="5214" spans="107:116" ht="12.75" customHeight="1">
      <c r="DC5214" s="19"/>
      <c r="DL5214" s="13"/>
    </row>
    <row r="5215" spans="107:116" ht="12.75" customHeight="1">
      <c r="DC5215" s="19"/>
      <c r="DL5215" s="13"/>
    </row>
    <row r="5216" spans="107:116" ht="12.75" customHeight="1">
      <c r="DC5216" s="19"/>
      <c r="DL5216" s="13"/>
    </row>
    <row r="5217" spans="107:116" ht="12.75" customHeight="1">
      <c r="DC5217" s="19"/>
      <c r="DL5217" s="13"/>
    </row>
    <row r="5218" spans="107:116" ht="12.75" customHeight="1">
      <c r="DC5218" s="19"/>
      <c r="DL5218" s="13"/>
    </row>
    <row r="5219" spans="107:116" ht="12.75" customHeight="1">
      <c r="DC5219" s="19"/>
      <c r="DL5219" s="13"/>
    </row>
    <row r="5220" spans="107:116" ht="12.75" customHeight="1">
      <c r="DC5220" s="19"/>
      <c r="DL5220" s="13"/>
    </row>
    <row r="5221" spans="107:116" ht="12.75" customHeight="1">
      <c r="DC5221" s="19"/>
      <c r="DL5221" s="13"/>
    </row>
    <row r="5222" spans="107:116" ht="12.75" customHeight="1">
      <c r="DC5222" s="19"/>
      <c r="DL5222" s="13"/>
    </row>
    <row r="5223" spans="107:116" ht="12.75" customHeight="1">
      <c r="DC5223" s="19"/>
      <c r="DL5223" s="13"/>
    </row>
    <row r="5224" spans="107:116" ht="12.75" customHeight="1">
      <c r="DC5224" s="19"/>
      <c r="DL5224" s="13"/>
    </row>
    <row r="5225" spans="107:116" ht="12.75" customHeight="1">
      <c r="DC5225" s="19"/>
      <c r="DL5225" s="13"/>
    </row>
    <row r="5226" spans="107:116" ht="12.75" customHeight="1">
      <c r="DC5226" s="19"/>
      <c r="DL5226" s="13"/>
    </row>
    <row r="5227" spans="107:116" ht="12.75" customHeight="1">
      <c r="DC5227" s="19"/>
      <c r="DL5227" s="13"/>
    </row>
    <row r="5228" spans="107:116" ht="12.75" customHeight="1">
      <c r="DC5228" s="19"/>
      <c r="DL5228" s="13"/>
    </row>
    <row r="5229" spans="107:116" ht="12.75" customHeight="1">
      <c r="DC5229" s="19"/>
      <c r="DL5229" s="13"/>
    </row>
    <row r="5230" spans="107:116" ht="12.75" customHeight="1">
      <c r="DC5230" s="19"/>
      <c r="DL5230" s="13"/>
    </row>
    <row r="5231" spans="107:116" ht="12.75" customHeight="1">
      <c r="DC5231" s="19"/>
      <c r="DL5231" s="13"/>
    </row>
    <row r="5232" spans="107:116" ht="12.75" customHeight="1">
      <c r="DC5232" s="19"/>
      <c r="DL5232" s="13"/>
    </row>
    <row r="5233" spans="107:116" ht="12.75" customHeight="1">
      <c r="DC5233" s="19"/>
      <c r="DL5233" s="13"/>
    </row>
    <row r="5234" spans="107:116" ht="12.75" customHeight="1">
      <c r="DC5234" s="19"/>
      <c r="DL5234" s="13"/>
    </row>
    <row r="5235" spans="107:116" ht="12.75" customHeight="1">
      <c r="DC5235" s="19"/>
      <c r="DL5235" s="13"/>
    </row>
    <row r="5236" spans="107:116" ht="12.75" customHeight="1">
      <c r="DC5236" s="19"/>
      <c r="DL5236" s="13"/>
    </row>
    <row r="5237" spans="107:116" ht="12.75" customHeight="1">
      <c r="DC5237" s="19"/>
      <c r="DL5237" s="13"/>
    </row>
    <row r="5238" spans="107:116" ht="12.75" customHeight="1">
      <c r="DC5238" s="19"/>
      <c r="DL5238" s="13"/>
    </row>
    <row r="5239" spans="107:116" ht="12.75" customHeight="1">
      <c r="DC5239" s="19"/>
      <c r="DL5239" s="13"/>
    </row>
    <row r="5240" spans="107:116" ht="12.75" customHeight="1">
      <c r="DC5240" s="19"/>
      <c r="DL5240" s="13"/>
    </row>
    <row r="5241" spans="107:116" ht="12.75" customHeight="1">
      <c r="DC5241" s="19"/>
      <c r="DL5241" s="13"/>
    </row>
    <row r="5242" spans="107:116" ht="12.75" customHeight="1">
      <c r="DC5242" s="19"/>
      <c r="DL5242" s="13"/>
    </row>
    <row r="5243" spans="107:116" ht="12.75" customHeight="1">
      <c r="DC5243" s="19"/>
      <c r="DL5243" s="13"/>
    </row>
    <row r="5244" spans="107:116" ht="12.75" customHeight="1">
      <c r="DC5244" s="19"/>
      <c r="DL5244" s="13"/>
    </row>
    <row r="5245" spans="107:116" ht="12.75" customHeight="1">
      <c r="DC5245" s="19"/>
      <c r="DL5245" s="13"/>
    </row>
    <row r="5246" spans="107:116" ht="12.75" customHeight="1">
      <c r="DC5246" s="19"/>
      <c r="DL5246" s="13"/>
    </row>
    <row r="5247" spans="107:116" ht="12.75" customHeight="1">
      <c r="DC5247" s="19"/>
      <c r="DL5247" s="13"/>
    </row>
    <row r="5248" spans="107:116" ht="12.75" customHeight="1">
      <c r="DC5248" s="19"/>
      <c r="DL5248" s="13"/>
    </row>
    <row r="5249" spans="107:116" ht="12.75" customHeight="1">
      <c r="DC5249" s="19"/>
      <c r="DL5249" s="13"/>
    </row>
    <row r="5250" spans="107:116" ht="12.75" customHeight="1">
      <c r="DC5250" s="19"/>
      <c r="DL5250" s="13"/>
    </row>
    <row r="5251" spans="107:116" ht="12.75" customHeight="1">
      <c r="DC5251" s="19"/>
      <c r="DL5251" s="13"/>
    </row>
    <row r="5252" spans="107:116" ht="12.75" customHeight="1">
      <c r="DC5252" s="19"/>
      <c r="DL5252" s="13"/>
    </row>
    <row r="5253" spans="107:116" ht="12.75" customHeight="1">
      <c r="DC5253" s="19"/>
      <c r="DL5253" s="13"/>
    </row>
    <row r="5254" spans="107:116" ht="12.75" customHeight="1">
      <c r="DC5254" s="19"/>
      <c r="DL5254" s="13"/>
    </row>
    <row r="5255" spans="107:116" ht="12.75" customHeight="1">
      <c r="DC5255" s="19"/>
      <c r="DL5255" s="13"/>
    </row>
    <row r="5256" spans="107:116" ht="12.75" customHeight="1">
      <c r="DC5256" s="19"/>
      <c r="DL5256" s="13"/>
    </row>
    <row r="5257" spans="107:116" ht="12.75" customHeight="1">
      <c r="DC5257" s="19"/>
      <c r="DL5257" s="13"/>
    </row>
    <row r="5258" spans="107:116" ht="12.75" customHeight="1">
      <c r="DC5258" s="19"/>
      <c r="DL5258" s="13"/>
    </row>
    <row r="5259" spans="107:116" ht="12.75" customHeight="1">
      <c r="DC5259" s="19"/>
      <c r="DL5259" s="13"/>
    </row>
    <row r="5260" spans="107:116" ht="12.75" customHeight="1">
      <c r="DC5260" s="19"/>
      <c r="DL5260" s="13"/>
    </row>
    <row r="5261" spans="107:116" ht="12.75" customHeight="1">
      <c r="DC5261" s="19"/>
      <c r="DL5261" s="13"/>
    </row>
    <row r="5262" spans="107:116" ht="12.75" customHeight="1">
      <c r="DC5262" s="19"/>
      <c r="DL5262" s="13"/>
    </row>
    <row r="5263" spans="107:116" ht="12.75" customHeight="1">
      <c r="DC5263" s="19"/>
      <c r="DL5263" s="13"/>
    </row>
    <row r="5264" spans="107:116" ht="12.75" customHeight="1">
      <c r="DC5264" s="19"/>
      <c r="DL5264" s="13"/>
    </row>
    <row r="5265" spans="107:116" ht="12.75" customHeight="1">
      <c r="DC5265" s="19"/>
      <c r="DL5265" s="13"/>
    </row>
    <row r="5266" spans="107:116" ht="12.75" customHeight="1">
      <c r="DC5266" s="19"/>
      <c r="DL5266" s="13"/>
    </row>
    <row r="5267" spans="107:116" ht="12.75" customHeight="1">
      <c r="DC5267" s="19"/>
      <c r="DL5267" s="13"/>
    </row>
    <row r="5268" spans="107:116" ht="12.75" customHeight="1">
      <c r="DC5268" s="19"/>
      <c r="DL5268" s="13"/>
    </row>
    <row r="5269" spans="107:116" ht="12.75" customHeight="1">
      <c r="DC5269" s="19"/>
      <c r="DL5269" s="13"/>
    </row>
    <row r="5270" spans="107:116" ht="12.75" customHeight="1">
      <c r="DC5270" s="19"/>
      <c r="DL5270" s="13"/>
    </row>
    <row r="5271" spans="107:116" ht="12.75" customHeight="1">
      <c r="DC5271" s="19"/>
      <c r="DL5271" s="13"/>
    </row>
    <row r="5272" spans="107:116" ht="12.75" customHeight="1">
      <c r="DC5272" s="19"/>
      <c r="DL5272" s="13"/>
    </row>
    <row r="5273" spans="107:116" ht="12.75" customHeight="1">
      <c r="DC5273" s="19"/>
      <c r="DL5273" s="13"/>
    </row>
    <row r="5274" spans="107:116" ht="12.75" customHeight="1">
      <c r="DC5274" s="19"/>
      <c r="DL5274" s="13"/>
    </row>
    <row r="5275" spans="107:116" ht="12.75" customHeight="1">
      <c r="DC5275" s="19"/>
      <c r="DL5275" s="13"/>
    </row>
    <row r="5276" spans="107:116" ht="12.75" customHeight="1">
      <c r="DC5276" s="19"/>
      <c r="DL5276" s="13"/>
    </row>
    <row r="5277" spans="107:116" ht="12.75" customHeight="1">
      <c r="DC5277" s="19"/>
      <c r="DL5277" s="13"/>
    </row>
    <row r="5278" spans="107:116" ht="12.75" customHeight="1">
      <c r="DC5278" s="19"/>
      <c r="DL5278" s="13"/>
    </row>
    <row r="5279" spans="107:116" ht="12.75" customHeight="1">
      <c r="DC5279" s="19"/>
      <c r="DL5279" s="13"/>
    </row>
    <row r="5280" spans="107:116" ht="12.75" customHeight="1">
      <c r="DC5280" s="19"/>
      <c r="DL5280" s="13"/>
    </row>
    <row r="5281" spans="107:116" ht="12.75" customHeight="1">
      <c r="DC5281" s="19"/>
      <c r="DL5281" s="13"/>
    </row>
    <row r="5282" spans="107:116" ht="12.75" customHeight="1">
      <c r="DC5282" s="19"/>
      <c r="DL5282" s="13"/>
    </row>
    <row r="5283" spans="107:116" ht="12.75" customHeight="1">
      <c r="DC5283" s="19"/>
      <c r="DL5283" s="13"/>
    </row>
    <row r="5284" spans="107:116" ht="12.75" customHeight="1">
      <c r="DC5284" s="19"/>
      <c r="DL5284" s="13"/>
    </row>
    <row r="5285" spans="107:116" ht="12.75" customHeight="1">
      <c r="DC5285" s="19"/>
      <c r="DL5285" s="13"/>
    </row>
    <row r="5286" spans="107:116" ht="12.75" customHeight="1">
      <c r="DC5286" s="19"/>
      <c r="DL5286" s="13"/>
    </row>
    <row r="5287" spans="107:116" ht="12.75" customHeight="1">
      <c r="DC5287" s="19"/>
      <c r="DL5287" s="13"/>
    </row>
    <row r="5288" spans="107:116" ht="12.75" customHeight="1">
      <c r="DC5288" s="19"/>
      <c r="DL5288" s="13"/>
    </row>
    <row r="5289" spans="107:116" ht="12.75" customHeight="1">
      <c r="DC5289" s="19"/>
      <c r="DL5289" s="13"/>
    </row>
    <row r="5290" spans="107:116" ht="12.75" customHeight="1">
      <c r="DC5290" s="19"/>
      <c r="DL5290" s="13"/>
    </row>
    <row r="5291" spans="107:116" ht="12.75" customHeight="1">
      <c r="DC5291" s="19"/>
      <c r="DL5291" s="13"/>
    </row>
    <row r="5292" spans="107:116" ht="12.75" customHeight="1">
      <c r="DC5292" s="19"/>
      <c r="DL5292" s="13"/>
    </row>
    <row r="5293" spans="107:116" ht="12.75" customHeight="1">
      <c r="DC5293" s="19"/>
      <c r="DL5293" s="13"/>
    </row>
    <row r="5294" spans="107:116" ht="12.75" customHeight="1">
      <c r="DC5294" s="19"/>
      <c r="DL5294" s="13"/>
    </row>
    <row r="5295" spans="107:116" ht="12.75" customHeight="1">
      <c r="DC5295" s="19"/>
      <c r="DL5295" s="13"/>
    </row>
    <row r="5296" spans="107:116" ht="12.75" customHeight="1">
      <c r="DC5296" s="19"/>
      <c r="DL5296" s="13"/>
    </row>
    <row r="5297" spans="107:116" ht="12.75" customHeight="1">
      <c r="DC5297" s="19"/>
      <c r="DL5297" s="13"/>
    </row>
    <row r="5298" spans="107:116" ht="12.75" customHeight="1">
      <c r="DC5298" s="19"/>
      <c r="DL5298" s="13"/>
    </row>
    <row r="5299" spans="107:116" ht="12.75" customHeight="1">
      <c r="DC5299" s="19"/>
      <c r="DL5299" s="13"/>
    </row>
    <row r="5300" spans="107:116" ht="12.75" customHeight="1">
      <c r="DC5300" s="19"/>
      <c r="DL5300" s="13"/>
    </row>
    <row r="5301" spans="107:116" ht="12.75" customHeight="1">
      <c r="DC5301" s="19"/>
      <c r="DL5301" s="13"/>
    </row>
    <row r="5302" spans="107:116" ht="12.75" customHeight="1">
      <c r="DC5302" s="19"/>
      <c r="DL5302" s="13"/>
    </row>
    <row r="5303" spans="107:116" ht="12.75" customHeight="1">
      <c r="DC5303" s="19"/>
      <c r="DL5303" s="13"/>
    </row>
    <row r="5304" spans="107:116" ht="12.75" customHeight="1">
      <c r="DC5304" s="19"/>
      <c r="DL5304" s="13"/>
    </row>
    <row r="5305" spans="107:116" ht="12.75" customHeight="1">
      <c r="DC5305" s="19"/>
      <c r="DL5305" s="13"/>
    </row>
    <row r="5306" spans="107:116" ht="12.75" customHeight="1">
      <c r="DC5306" s="19"/>
      <c r="DL5306" s="13"/>
    </row>
    <row r="5307" spans="107:116" ht="12.75" customHeight="1">
      <c r="DC5307" s="19"/>
      <c r="DL5307" s="13"/>
    </row>
    <row r="5308" spans="107:116" ht="12.75" customHeight="1">
      <c r="DC5308" s="19"/>
      <c r="DL5308" s="13"/>
    </row>
    <row r="5309" spans="107:116" ht="12.75" customHeight="1">
      <c r="DC5309" s="19"/>
      <c r="DL5309" s="13"/>
    </row>
    <row r="5310" spans="107:116" ht="12.75" customHeight="1">
      <c r="DC5310" s="19"/>
      <c r="DL5310" s="13"/>
    </row>
    <row r="5311" spans="107:116" ht="12.75" customHeight="1">
      <c r="DC5311" s="19"/>
      <c r="DL5311" s="13"/>
    </row>
    <row r="5312" spans="107:116" ht="12.75" customHeight="1">
      <c r="DC5312" s="19"/>
      <c r="DL5312" s="13"/>
    </row>
    <row r="5313" spans="107:116" ht="12.75" customHeight="1">
      <c r="DC5313" s="19"/>
      <c r="DL5313" s="13"/>
    </row>
    <row r="5314" spans="107:116" ht="12.75" customHeight="1">
      <c r="DC5314" s="19"/>
      <c r="DL5314" s="13"/>
    </row>
    <row r="5315" spans="107:116" ht="12.75" customHeight="1">
      <c r="DC5315" s="19"/>
      <c r="DL5315" s="13"/>
    </row>
    <row r="5316" spans="107:116" ht="12.75" customHeight="1">
      <c r="DC5316" s="19"/>
      <c r="DL5316" s="13"/>
    </row>
    <row r="5317" spans="107:116" ht="12.75" customHeight="1">
      <c r="DC5317" s="19"/>
      <c r="DL5317" s="13"/>
    </row>
    <row r="5318" spans="107:116" ht="12.75" customHeight="1">
      <c r="DC5318" s="19"/>
      <c r="DL5318" s="13"/>
    </row>
    <row r="5319" spans="107:116" ht="12.75" customHeight="1">
      <c r="DC5319" s="19"/>
      <c r="DL5319" s="13"/>
    </row>
    <row r="5320" spans="107:116" ht="12.75" customHeight="1">
      <c r="DC5320" s="19"/>
      <c r="DL5320" s="13"/>
    </row>
    <row r="5321" spans="107:116" ht="12.75" customHeight="1">
      <c r="DC5321" s="19"/>
      <c r="DL5321" s="13"/>
    </row>
    <row r="5322" spans="107:116" ht="12.75" customHeight="1">
      <c r="DC5322" s="19"/>
      <c r="DL5322" s="13"/>
    </row>
    <row r="5323" spans="107:116" ht="12.75" customHeight="1">
      <c r="DC5323" s="19"/>
      <c r="DL5323" s="13"/>
    </row>
    <row r="5324" spans="107:116" ht="12.75" customHeight="1">
      <c r="DC5324" s="19"/>
      <c r="DL5324" s="13"/>
    </row>
    <row r="5325" spans="107:116" ht="12.75" customHeight="1">
      <c r="DC5325" s="19"/>
      <c r="DL5325" s="13"/>
    </row>
    <row r="5326" spans="107:116" ht="12.75" customHeight="1">
      <c r="DC5326" s="19"/>
      <c r="DL5326" s="13"/>
    </row>
    <row r="5327" spans="107:116" ht="12.75" customHeight="1">
      <c r="DC5327" s="19"/>
      <c r="DL5327" s="13"/>
    </row>
    <row r="5328" spans="107:116" ht="12.75" customHeight="1">
      <c r="DC5328" s="19"/>
      <c r="DL5328" s="13"/>
    </row>
    <row r="5329" spans="107:116" ht="12.75" customHeight="1">
      <c r="DC5329" s="19"/>
      <c r="DL5329" s="13"/>
    </row>
    <row r="5330" spans="107:116" ht="12.75" customHeight="1">
      <c r="DC5330" s="19"/>
      <c r="DL5330" s="13"/>
    </row>
    <row r="5331" spans="107:116" ht="12.75" customHeight="1">
      <c r="DC5331" s="19"/>
      <c r="DL5331" s="13"/>
    </row>
    <row r="5332" spans="107:116" ht="12.75" customHeight="1">
      <c r="DC5332" s="19"/>
      <c r="DL5332" s="13"/>
    </row>
    <row r="5333" spans="107:116" ht="12.75" customHeight="1">
      <c r="DC5333" s="19"/>
      <c r="DL5333" s="13"/>
    </row>
    <row r="5334" spans="107:116" ht="12.75" customHeight="1">
      <c r="DC5334" s="19"/>
      <c r="DL5334" s="13"/>
    </row>
    <row r="5335" spans="107:116" ht="12.75" customHeight="1">
      <c r="DC5335" s="19"/>
      <c r="DL5335" s="13"/>
    </row>
    <row r="5336" spans="107:116" ht="12.75" customHeight="1">
      <c r="DC5336" s="19"/>
      <c r="DL5336" s="13"/>
    </row>
    <row r="5337" spans="107:116" ht="12.75" customHeight="1">
      <c r="DC5337" s="19"/>
      <c r="DL5337" s="13"/>
    </row>
    <row r="5338" spans="107:116" ht="12.75" customHeight="1">
      <c r="DC5338" s="19"/>
      <c r="DL5338" s="13"/>
    </row>
    <row r="5339" spans="107:116" ht="12.75" customHeight="1">
      <c r="DC5339" s="19"/>
      <c r="DL5339" s="13"/>
    </row>
    <row r="5340" spans="107:116" ht="12.75" customHeight="1">
      <c r="DC5340" s="19"/>
      <c r="DL5340" s="13"/>
    </row>
    <row r="5341" spans="107:116" ht="12.75" customHeight="1">
      <c r="DC5341" s="19"/>
      <c r="DL5341" s="13"/>
    </row>
    <row r="5342" spans="107:116" ht="12.75" customHeight="1">
      <c r="DC5342" s="19"/>
      <c r="DL5342" s="13"/>
    </row>
    <row r="5343" spans="107:116" ht="12.75" customHeight="1">
      <c r="DC5343" s="19"/>
      <c r="DL5343" s="13"/>
    </row>
    <row r="5344" spans="107:116" ht="12.75" customHeight="1">
      <c r="DC5344" s="19"/>
      <c r="DL5344" s="13"/>
    </row>
    <row r="5345" spans="107:116" ht="12.75" customHeight="1">
      <c r="DC5345" s="19"/>
      <c r="DL5345" s="13"/>
    </row>
    <row r="5346" spans="107:116" ht="12.75" customHeight="1">
      <c r="DC5346" s="19"/>
      <c r="DL5346" s="13"/>
    </row>
    <row r="5347" spans="107:116" ht="12.75" customHeight="1">
      <c r="DC5347" s="19"/>
      <c r="DL5347" s="13"/>
    </row>
    <row r="5348" spans="107:116" ht="12.75" customHeight="1">
      <c r="DC5348" s="19"/>
      <c r="DL5348" s="13"/>
    </row>
    <row r="5349" spans="107:116" ht="12.75" customHeight="1">
      <c r="DC5349" s="19"/>
      <c r="DL5349" s="13"/>
    </row>
    <row r="5350" spans="107:116" ht="12.75" customHeight="1">
      <c r="DC5350" s="19"/>
      <c r="DL5350" s="13"/>
    </row>
    <row r="5351" spans="107:116" ht="12.75" customHeight="1">
      <c r="DC5351" s="19"/>
      <c r="DL5351" s="13"/>
    </row>
    <row r="5352" spans="107:116" ht="12.75" customHeight="1">
      <c r="DC5352" s="19"/>
      <c r="DL5352" s="13"/>
    </row>
    <row r="5353" spans="107:116" ht="12.75" customHeight="1">
      <c r="DC5353" s="19"/>
      <c r="DL5353" s="13"/>
    </row>
    <row r="5354" spans="107:116" ht="12.75" customHeight="1">
      <c r="DC5354" s="19"/>
      <c r="DL5354" s="13"/>
    </row>
    <row r="5355" spans="107:116" ht="12.75" customHeight="1">
      <c r="DC5355" s="19"/>
      <c r="DL5355" s="13"/>
    </row>
    <row r="5356" spans="107:116" ht="12.75" customHeight="1">
      <c r="DC5356" s="19"/>
      <c r="DL5356" s="13"/>
    </row>
    <row r="5357" spans="107:116" ht="12.75" customHeight="1">
      <c r="DC5357" s="19"/>
      <c r="DL5357" s="13"/>
    </row>
    <row r="5358" spans="107:116" ht="12.75" customHeight="1">
      <c r="DC5358" s="19"/>
      <c r="DL5358" s="13"/>
    </row>
    <row r="5359" spans="107:116" ht="12.75" customHeight="1">
      <c r="DC5359" s="19"/>
      <c r="DL5359" s="13"/>
    </row>
    <row r="5360" spans="107:116" ht="12.75" customHeight="1">
      <c r="DC5360" s="19"/>
      <c r="DL5360" s="13"/>
    </row>
    <row r="5361" spans="107:116" ht="12.75" customHeight="1">
      <c r="DC5361" s="19"/>
      <c r="DL5361" s="13"/>
    </row>
    <row r="5362" spans="107:116" ht="12.75" customHeight="1">
      <c r="DC5362" s="19"/>
      <c r="DL5362" s="13"/>
    </row>
    <row r="5363" spans="107:116" ht="12.75" customHeight="1">
      <c r="DC5363" s="19"/>
      <c r="DL5363" s="13"/>
    </row>
    <row r="5364" spans="107:116" ht="12.75" customHeight="1">
      <c r="DC5364" s="19"/>
      <c r="DL5364" s="13"/>
    </row>
    <row r="5365" spans="107:116" ht="12.75" customHeight="1">
      <c r="DC5365" s="19"/>
      <c r="DL5365" s="13"/>
    </row>
    <row r="5366" spans="107:116" ht="12.75" customHeight="1">
      <c r="DC5366" s="19"/>
      <c r="DL5366" s="13"/>
    </row>
    <row r="5367" spans="107:116" ht="12.75" customHeight="1">
      <c r="DC5367" s="19"/>
      <c r="DL5367" s="13"/>
    </row>
    <row r="5368" spans="107:116" ht="12.75" customHeight="1">
      <c r="DC5368" s="19"/>
      <c r="DL5368" s="13"/>
    </row>
    <row r="5369" spans="107:116" ht="12.75" customHeight="1">
      <c r="DC5369" s="19"/>
      <c r="DL5369" s="13"/>
    </row>
    <row r="5370" spans="107:116" ht="12.75" customHeight="1">
      <c r="DC5370" s="19"/>
      <c r="DL5370" s="13"/>
    </row>
    <row r="5371" spans="107:116" ht="12.75" customHeight="1">
      <c r="DC5371" s="19"/>
      <c r="DL5371" s="13"/>
    </row>
    <row r="5372" spans="107:116" ht="12.75" customHeight="1">
      <c r="DC5372" s="19"/>
      <c r="DL5372" s="13"/>
    </row>
    <row r="5373" spans="107:116" ht="12.75" customHeight="1">
      <c r="DC5373" s="19"/>
      <c r="DL5373" s="13"/>
    </row>
    <row r="5374" spans="107:116" ht="12.75" customHeight="1">
      <c r="DC5374" s="19"/>
      <c r="DL5374" s="13"/>
    </row>
    <row r="5375" spans="107:116" ht="12.75" customHeight="1">
      <c r="DC5375" s="19"/>
      <c r="DL5375" s="13"/>
    </row>
    <row r="5376" spans="107:116" ht="12.75" customHeight="1">
      <c r="DC5376" s="19"/>
      <c r="DL5376" s="13"/>
    </row>
    <row r="5377" spans="107:116" ht="12.75" customHeight="1">
      <c r="DC5377" s="19"/>
      <c r="DL5377" s="13"/>
    </row>
    <row r="5378" spans="107:116" ht="12.75" customHeight="1">
      <c r="DC5378" s="19"/>
      <c r="DL5378" s="13"/>
    </row>
    <row r="5379" spans="107:116" ht="12.75" customHeight="1">
      <c r="DC5379" s="19"/>
      <c r="DL5379" s="13"/>
    </row>
    <row r="5380" spans="107:116" ht="12.75" customHeight="1">
      <c r="DC5380" s="19"/>
      <c r="DL5380" s="13"/>
    </row>
    <row r="5381" spans="107:116" ht="12.75" customHeight="1">
      <c r="DC5381" s="19"/>
      <c r="DL5381" s="13"/>
    </row>
    <row r="5382" spans="107:116" ht="12.75" customHeight="1">
      <c r="DC5382" s="19"/>
      <c r="DL5382" s="13"/>
    </row>
    <row r="5383" spans="107:116" ht="12.75" customHeight="1">
      <c r="DC5383" s="19"/>
      <c r="DL5383" s="13"/>
    </row>
    <row r="5384" spans="107:116" ht="12.75" customHeight="1">
      <c r="DC5384" s="19"/>
      <c r="DL5384" s="13"/>
    </row>
    <row r="5385" spans="107:116" ht="12.75" customHeight="1">
      <c r="DC5385" s="19"/>
      <c r="DL5385" s="13"/>
    </row>
    <row r="5386" spans="107:116" ht="12.75" customHeight="1">
      <c r="DC5386" s="19"/>
      <c r="DL5386" s="13"/>
    </row>
    <row r="5387" spans="107:116" ht="12.75" customHeight="1">
      <c r="DC5387" s="19"/>
      <c r="DL5387" s="13"/>
    </row>
    <row r="5388" spans="107:116" ht="12.75" customHeight="1">
      <c r="DC5388" s="19"/>
      <c r="DL5388" s="13"/>
    </row>
    <row r="5389" spans="107:116" ht="12.75" customHeight="1">
      <c r="DC5389" s="19"/>
      <c r="DL5389" s="13"/>
    </row>
    <row r="5390" spans="107:116" ht="12.75" customHeight="1">
      <c r="DC5390" s="19"/>
      <c r="DL5390" s="13"/>
    </row>
    <row r="5391" spans="107:116" ht="12.75" customHeight="1">
      <c r="DC5391" s="19"/>
      <c r="DL5391" s="13"/>
    </row>
    <row r="5392" spans="107:116" ht="12.75" customHeight="1">
      <c r="DC5392" s="19"/>
      <c r="DL5392" s="13"/>
    </row>
    <row r="5393" spans="107:116" ht="12.75" customHeight="1">
      <c r="DC5393" s="19"/>
      <c r="DL5393" s="13"/>
    </row>
    <row r="5394" spans="107:116" ht="12.75" customHeight="1">
      <c r="DC5394" s="19"/>
      <c r="DL5394" s="13"/>
    </row>
    <row r="5395" spans="107:116" ht="12.75" customHeight="1">
      <c r="DC5395" s="19"/>
      <c r="DL5395" s="13"/>
    </row>
    <row r="5396" spans="107:116" ht="12.75" customHeight="1">
      <c r="DC5396" s="19"/>
      <c r="DL5396" s="13"/>
    </row>
    <row r="5397" spans="107:116" ht="12.75" customHeight="1">
      <c r="DC5397" s="19"/>
      <c r="DL5397" s="13"/>
    </row>
    <row r="5398" spans="107:116" ht="12.75" customHeight="1">
      <c r="DC5398" s="19"/>
      <c r="DL5398" s="13"/>
    </row>
    <row r="5399" spans="107:116" ht="12.75" customHeight="1">
      <c r="DC5399" s="19"/>
      <c r="DL5399" s="13"/>
    </row>
    <row r="5400" spans="107:116" ht="12.75" customHeight="1">
      <c r="DC5400" s="19"/>
      <c r="DL5400" s="13"/>
    </row>
    <row r="5401" spans="107:116" ht="12.75" customHeight="1">
      <c r="DC5401" s="19"/>
      <c r="DL5401" s="13"/>
    </row>
    <row r="5402" spans="107:116" ht="12.75" customHeight="1">
      <c r="DC5402" s="19"/>
      <c r="DL5402" s="13"/>
    </row>
    <row r="5403" spans="107:116" ht="12.75" customHeight="1">
      <c r="DC5403" s="19"/>
      <c r="DL5403" s="13"/>
    </row>
    <row r="5404" spans="107:116" ht="12.75" customHeight="1">
      <c r="DC5404" s="19"/>
      <c r="DL5404" s="13"/>
    </row>
    <row r="5405" spans="107:116" ht="12.75" customHeight="1">
      <c r="DC5405" s="19"/>
      <c r="DL5405" s="13"/>
    </row>
    <row r="5406" spans="107:116" ht="12.75" customHeight="1">
      <c r="DC5406" s="19"/>
      <c r="DL5406" s="13"/>
    </row>
    <row r="5407" spans="107:116" ht="12.75" customHeight="1">
      <c r="DC5407" s="19"/>
      <c r="DL5407" s="13"/>
    </row>
    <row r="5408" spans="107:116" ht="12.75" customHeight="1">
      <c r="DC5408" s="19"/>
      <c r="DL5408" s="13"/>
    </row>
    <row r="5409" spans="107:116" ht="12.75" customHeight="1">
      <c r="DC5409" s="19"/>
      <c r="DL5409" s="13"/>
    </row>
    <row r="5410" spans="107:116" ht="12.75" customHeight="1">
      <c r="DC5410" s="19"/>
      <c r="DL5410" s="13"/>
    </row>
    <row r="5411" spans="107:116" ht="12.75" customHeight="1">
      <c r="DC5411" s="19"/>
      <c r="DL5411" s="13"/>
    </row>
    <row r="5412" spans="107:116" ht="12.75" customHeight="1">
      <c r="DC5412" s="19"/>
      <c r="DL5412" s="13"/>
    </row>
    <row r="5413" spans="107:116" ht="12.75" customHeight="1">
      <c r="DC5413" s="19"/>
      <c r="DL5413" s="13"/>
    </row>
    <row r="5414" spans="107:116" ht="12.75" customHeight="1">
      <c r="DC5414" s="19"/>
      <c r="DL5414" s="13"/>
    </row>
    <row r="5415" spans="107:116" ht="12.75" customHeight="1">
      <c r="DC5415" s="19"/>
      <c r="DL5415" s="13"/>
    </row>
    <row r="5416" spans="107:116" ht="12.75" customHeight="1">
      <c r="DC5416" s="19"/>
      <c r="DL5416" s="13"/>
    </row>
    <row r="5417" spans="107:116" ht="12.75" customHeight="1">
      <c r="DC5417" s="19"/>
      <c r="DL5417" s="13"/>
    </row>
    <row r="5418" spans="107:116" ht="12.75" customHeight="1">
      <c r="DC5418" s="19"/>
      <c r="DL5418" s="13"/>
    </row>
    <row r="5419" spans="107:116" ht="12.75" customHeight="1">
      <c r="DC5419" s="19"/>
      <c r="DL5419" s="13"/>
    </row>
    <row r="5420" spans="107:116" ht="12.75" customHeight="1">
      <c r="DC5420" s="19"/>
      <c r="DL5420" s="13"/>
    </row>
    <row r="5421" spans="107:116" ht="12.75" customHeight="1">
      <c r="DC5421" s="19"/>
      <c r="DL5421" s="13"/>
    </row>
    <row r="5422" spans="107:116" ht="12.75" customHeight="1">
      <c r="DC5422" s="19"/>
      <c r="DL5422" s="13"/>
    </row>
    <row r="5423" spans="107:116" ht="12.75" customHeight="1">
      <c r="DC5423" s="19"/>
      <c r="DL5423" s="13"/>
    </row>
    <row r="5424" spans="107:116" ht="12.75" customHeight="1">
      <c r="DC5424" s="19"/>
      <c r="DL5424" s="13"/>
    </row>
    <row r="5425" spans="107:116" ht="12.75" customHeight="1">
      <c r="DC5425" s="19"/>
      <c r="DL5425" s="13"/>
    </row>
    <row r="5426" spans="107:116" ht="12.75" customHeight="1">
      <c r="DC5426" s="19"/>
      <c r="DL5426" s="13"/>
    </row>
    <row r="5427" spans="107:116" ht="12.75" customHeight="1">
      <c r="DC5427" s="19"/>
      <c r="DL5427" s="13"/>
    </row>
    <row r="5428" spans="107:116" ht="12.75" customHeight="1">
      <c r="DC5428" s="19"/>
      <c r="DL5428" s="13"/>
    </row>
    <row r="5429" spans="107:116" ht="12.75" customHeight="1">
      <c r="DC5429" s="19"/>
      <c r="DL5429" s="13"/>
    </row>
    <row r="5430" spans="107:116" ht="12.75" customHeight="1">
      <c r="DC5430" s="19"/>
      <c r="DL5430" s="13"/>
    </row>
    <row r="5431" spans="107:116" ht="12.75" customHeight="1">
      <c r="DC5431" s="19"/>
      <c r="DL5431" s="13"/>
    </row>
    <row r="5432" spans="107:116" ht="12.75" customHeight="1">
      <c r="DC5432" s="19"/>
      <c r="DL5432" s="13"/>
    </row>
    <row r="5433" spans="107:116" ht="12.75" customHeight="1">
      <c r="DC5433" s="19"/>
      <c r="DL5433" s="13"/>
    </row>
    <row r="5434" spans="107:116" ht="12.75" customHeight="1">
      <c r="DC5434" s="19"/>
      <c r="DL5434" s="13"/>
    </row>
    <row r="5435" spans="107:116" ht="12.75" customHeight="1">
      <c r="DC5435" s="19"/>
      <c r="DL5435" s="13"/>
    </row>
    <row r="5436" spans="107:116" ht="12.75" customHeight="1">
      <c r="DC5436" s="19"/>
      <c r="DL5436" s="13"/>
    </row>
    <row r="5437" spans="107:116" ht="12.75" customHeight="1">
      <c r="DC5437" s="19"/>
      <c r="DL5437" s="13"/>
    </row>
    <row r="5438" spans="107:116" ht="12.75" customHeight="1">
      <c r="DC5438" s="19"/>
      <c r="DL5438" s="13"/>
    </row>
    <row r="5439" spans="107:116" ht="12.75" customHeight="1">
      <c r="DC5439" s="19"/>
      <c r="DL5439" s="13"/>
    </row>
    <row r="5440" spans="107:116" ht="12.75" customHeight="1">
      <c r="DC5440" s="19"/>
      <c r="DL5440" s="13"/>
    </row>
    <row r="5441" spans="107:116" ht="12.75" customHeight="1">
      <c r="DC5441" s="19"/>
      <c r="DL5441" s="13"/>
    </row>
    <row r="5442" spans="107:116" ht="12.75" customHeight="1">
      <c r="DC5442" s="19"/>
      <c r="DL5442" s="13"/>
    </row>
    <row r="5443" spans="107:116" ht="12.75" customHeight="1">
      <c r="DC5443" s="19"/>
      <c r="DL5443" s="13"/>
    </row>
    <row r="5444" spans="107:116" ht="12.75" customHeight="1">
      <c r="DC5444" s="19"/>
      <c r="DL5444" s="13"/>
    </row>
    <row r="5445" spans="107:116" ht="12.75" customHeight="1">
      <c r="DC5445" s="19"/>
      <c r="DL5445" s="13"/>
    </row>
    <row r="5446" spans="107:116" ht="12.75" customHeight="1">
      <c r="DC5446" s="19"/>
      <c r="DL5446" s="13"/>
    </row>
    <row r="5447" spans="107:116" ht="12.75" customHeight="1">
      <c r="DC5447" s="19"/>
      <c r="DL5447" s="13"/>
    </row>
    <row r="5448" spans="107:116" ht="12.75" customHeight="1">
      <c r="DC5448" s="19"/>
      <c r="DL5448" s="13"/>
    </row>
    <row r="5449" spans="107:116" ht="12.75" customHeight="1">
      <c r="DC5449" s="19"/>
      <c r="DL5449" s="13"/>
    </row>
    <row r="5450" spans="107:116" ht="12.75" customHeight="1">
      <c r="DC5450" s="19"/>
      <c r="DL5450" s="13"/>
    </row>
    <row r="5451" spans="107:116" ht="12.75" customHeight="1">
      <c r="DC5451" s="19"/>
      <c r="DL5451" s="13"/>
    </row>
    <row r="5452" spans="107:116" ht="12.75" customHeight="1">
      <c r="DC5452" s="19"/>
      <c r="DL5452" s="13"/>
    </row>
    <row r="5453" spans="107:116" ht="12.75" customHeight="1">
      <c r="DC5453" s="19"/>
      <c r="DL5453" s="13"/>
    </row>
    <row r="5454" spans="107:116" ht="12.75" customHeight="1">
      <c r="DC5454" s="19"/>
      <c r="DL5454" s="13"/>
    </row>
    <row r="5455" spans="107:116" ht="12.75" customHeight="1">
      <c r="DC5455" s="19"/>
      <c r="DL5455" s="13"/>
    </row>
    <row r="5456" spans="107:116" ht="12.75" customHeight="1">
      <c r="DC5456" s="19"/>
      <c r="DL5456" s="13"/>
    </row>
    <row r="5457" spans="107:116" ht="12.75" customHeight="1">
      <c r="DC5457" s="19"/>
      <c r="DL5457" s="13"/>
    </row>
    <row r="5458" spans="107:116" ht="12.75" customHeight="1">
      <c r="DC5458" s="19"/>
      <c r="DL5458" s="13"/>
    </row>
    <row r="5459" spans="107:116" ht="12.75" customHeight="1">
      <c r="DC5459" s="19"/>
      <c r="DL5459" s="13"/>
    </row>
    <row r="5460" spans="107:116" ht="12.75" customHeight="1">
      <c r="DC5460" s="19"/>
      <c r="DL5460" s="13"/>
    </row>
    <row r="5461" spans="107:116" ht="12.75" customHeight="1">
      <c r="DC5461" s="19"/>
      <c r="DL5461" s="13"/>
    </row>
    <row r="5462" spans="107:116" ht="12.75" customHeight="1">
      <c r="DC5462" s="19"/>
      <c r="DL5462" s="13"/>
    </row>
    <row r="5463" spans="107:116" ht="12.75" customHeight="1">
      <c r="DC5463" s="19"/>
      <c r="DL5463" s="13"/>
    </row>
    <row r="5464" spans="107:116" ht="12.75" customHeight="1">
      <c r="DC5464" s="19"/>
      <c r="DL5464" s="13"/>
    </row>
    <row r="5465" spans="107:116" ht="12.75" customHeight="1">
      <c r="DC5465" s="19"/>
      <c r="DL5465" s="13"/>
    </row>
    <row r="5466" spans="107:116" ht="12.75" customHeight="1">
      <c r="DC5466" s="19"/>
      <c r="DL5466" s="13"/>
    </row>
    <row r="5467" spans="107:116" ht="12.75" customHeight="1">
      <c r="DC5467" s="19"/>
      <c r="DL5467" s="13"/>
    </row>
    <row r="5468" spans="107:116" ht="12.75" customHeight="1">
      <c r="DC5468" s="19"/>
      <c r="DL5468" s="13"/>
    </row>
    <row r="5469" spans="107:116" ht="12.75" customHeight="1">
      <c r="DC5469" s="19"/>
      <c r="DL5469" s="13"/>
    </row>
    <row r="5470" spans="107:116" ht="12.75" customHeight="1">
      <c r="DC5470" s="19"/>
      <c r="DL5470" s="13"/>
    </row>
    <row r="5471" spans="107:116" ht="12.75" customHeight="1">
      <c r="DC5471" s="19"/>
      <c r="DL5471" s="13"/>
    </row>
    <row r="5472" spans="107:116" ht="12.75" customHeight="1">
      <c r="DC5472" s="19"/>
      <c r="DL5472" s="13"/>
    </row>
    <row r="5473" spans="107:116" ht="12.75" customHeight="1">
      <c r="DC5473" s="19"/>
      <c r="DL5473" s="13"/>
    </row>
    <row r="5474" spans="107:116" ht="12.75" customHeight="1">
      <c r="DC5474" s="19"/>
      <c r="DL5474" s="13"/>
    </row>
    <row r="5475" spans="107:116" ht="12.75" customHeight="1">
      <c r="DC5475" s="19"/>
      <c r="DL5475" s="13"/>
    </row>
    <row r="5476" spans="107:116" ht="12.75" customHeight="1">
      <c r="DC5476" s="19"/>
      <c r="DL5476" s="13"/>
    </row>
    <row r="5477" spans="107:116" ht="12.75" customHeight="1">
      <c r="DC5477" s="19"/>
      <c r="DL5477" s="13"/>
    </row>
    <row r="5478" spans="107:116" ht="12.75" customHeight="1">
      <c r="DC5478" s="19"/>
      <c r="DL5478" s="13"/>
    </row>
    <row r="5479" spans="107:116" ht="12.75" customHeight="1">
      <c r="DC5479" s="19"/>
      <c r="DL5479" s="13"/>
    </row>
    <row r="5480" spans="107:116" ht="12.75" customHeight="1">
      <c r="DC5480" s="19"/>
      <c r="DL5480" s="13"/>
    </row>
    <row r="5481" spans="107:116" ht="12.75" customHeight="1">
      <c r="DC5481" s="19"/>
      <c r="DL5481" s="13"/>
    </row>
    <row r="5482" spans="107:116" ht="12.75" customHeight="1">
      <c r="DC5482" s="19"/>
      <c r="DL5482" s="13"/>
    </row>
    <row r="5483" spans="107:116" ht="12.75" customHeight="1">
      <c r="DC5483" s="19"/>
      <c r="DL5483" s="13"/>
    </row>
    <row r="5484" spans="107:116" ht="12.75" customHeight="1">
      <c r="DC5484" s="19"/>
      <c r="DL5484" s="13"/>
    </row>
    <row r="5485" spans="107:116" ht="12.75" customHeight="1">
      <c r="DC5485" s="19"/>
      <c r="DL5485" s="13"/>
    </row>
    <row r="5486" spans="107:116" ht="12.75" customHeight="1">
      <c r="DC5486" s="19"/>
      <c r="DL5486" s="13"/>
    </row>
    <row r="5487" spans="107:116" ht="12.75" customHeight="1">
      <c r="DC5487" s="19"/>
      <c r="DL5487" s="13"/>
    </row>
    <row r="5488" spans="107:116" ht="12.75" customHeight="1">
      <c r="DC5488" s="19"/>
      <c r="DL5488" s="13"/>
    </row>
    <row r="5489" spans="107:116" ht="12.75" customHeight="1">
      <c r="DC5489" s="19"/>
      <c r="DL5489" s="13"/>
    </row>
    <row r="5490" spans="107:116" ht="12.75" customHeight="1">
      <c r="DC5490" s="19"/>
      <c r="DL5490" s="13"/>
    </row>
    <row r="5491" spans="107:116" ht="12.75" customHeight="1">
      <c r="DC5491" s="19"/>
      <c r="DL5491" s="13"/>
    </row>
    <row r="5492" spans="107:116" ht="12.75" customHeight="1">
      <c r="DC5492" s="19"/>
      <c r="DL5492" s="13"/>
    </row>
    <row r="5493" spans="107:116" ht="12.75" customHeight="1">
      <c r="DC5493" s="19"/>
      <c r="DL5493" s="13"/>
    </row>
    <row r="5494" spans="107:116" ht="12.75" customHeight="1">
      <c r="DC5494" s="19"/>
      <c r="DL5494" s="13"/>
    </row>
    <row r="5495" spans="107:116" ht="12.75" customHeight="1">
      <c r="DC5495" s="19"/>
      <c r="DL5495" s="13"/>
    </row>
    <row r="5496" spans="107:116" ht="12.75" customHeight="1">
      <c r="DC5496" s="19"/>
      <c r="DL5496" s="13"/>
    </row>
    <row r="5497" spans="107:116" ht="12.75" customHeight="1">
      <c r="DC5497" s="19"/>
      <c r="DL5497" s="13"/>
    </row>
    <row r="5498" spans="107:116" ht="12.75" customHeight="1">
      <c r="DC5498" s="19"/>
      <c r="DL5498" s="13"/>
    </row>
    <row r="5499" spans="107:116" ht="12.75" customHeight="1">
      <c r="DC5499" s="19"/>
      <c r="DL5499" s="13"/>
    </row>
    <row r="5500" spans="107:116" ht="12.75" customHeight="1">
      <c r="DC5500" s="19"/>
      <c r="DL5500" s="13"/>
    </row>
    <row r="5501" spans="107:116" ht="12.75" customHeight="1">
      <c r="DC5501" s="19"/>
      <c r="DL5501" s="13"/>
    </row>
    <row r="5502" spans="107:116" ht="12.75" customHeight="1">
      <c r="DC5502" s="19"/>
      <c r="DL5502" s="13"/>
    </row>
    <row r="5503" spans="107:116" ht="12.75" customHeight="1">
      <c r="DC5503" s="19"/>
      <c r="DL5503" s="13"/>
    </row>
    <row r="5504" spans="107:116" ht="12.75" customHeight="1">
      <c r="DC5504" s="19"/>
      <c r="DL5504" s="13"/>
    </row>
    <row r="5505" spans="107:116" ht="12.75" customHeight="1">
      <c r="DC5505" s="19"/>
      <c r="DL5505" s="13"/>
    </row>
    <row r="5506" spans="107:116" ht="12.75" customHeight="1">
      <c r="DC5506" s="19"/>
      <c r="DL5506" s="13"/>
    </row>
    <row r="5507" spans="107:116" ht="12.75" customHeight="1">
      <c r="DC5507" s="19"/>
      <c r="DL5507" s="13"/>
    </row>
    <row r="5508" spans="107:116" ht="12.75" customHeight="1">
      <c r="DC5508" s="19"/>
      <c r="DL5508" s="13"/>
    </row>
    <row r="5509" spans="107:116" ht="12.75" customHeight="1">
      <c r="DC5509" s="19"/>
      <c r="DL5509" s="13"/>
    </row>
    <row r="5510" spans="107:116" ht="12.75" customHeight="1">
      <c r="DC5510" s="19"/>
      <c r="DL5510" s="13"/>
    </row>
    <row r="5511" spans="107:116" ht="12.75" customHeight="1">
      <c r="DC5511" s="19"/>
      <c r="DL5511" s="13"/>
    </row>
    <row r="5512" spans="107:116" ht="12.75" customHeight="1">
      <c r="DC5512" s="19"/>
      <c r="DL5512" s="13"/>
    </row>
    <row r="5513" spans="107:116" ht="12.75" customHeight="1">
      <c r="DC5513" s="19"/>
      <c r="DL5513" s="13"/>
    </row>
    <row r="5514" spans="107:116" ht="12.75" customHeight="1">
      <c r="DC5514" s="19"/>
      <c r="DL5514" s="13"/>
    </row>
    <row r="5515" spans="107:116" ht="12.75" customHeight="1">
      <c r="DC5515" s="19"/>
      <c r="DL5515" s="13"/>
    </row>
    <row r="5516" spans="107:116" ht="12.75" customHeight="1">
      <c r="DC5516" s="19"/>
      <c r="DL5516" s="13"/>
    </row>
    <row r="5517" spans="107:116" ht="12.75" customHeight="1">
      <c r="DC5517" s="19"/>
      <c r="DL5517" s="13"/>
    </row>
    <row r="5518" spans="107:116" ht="12.75" customHeight="1">
      <c r="DC5518" s="19"/>
      <c r="DL5518" s="13"/>
    </row>
    <row r="5519" spans="107:116" ht="12.75" customHeight="1">
      <c r="DC5519" s="19"/>
      <c r="DL5519" s="13"/>
    </row>
    <row r="5520" spans="107:116" ht="12.75" customHeight="1">
      <c r="DC5520" s="19"/>
      <c r="DL5520" s="13"/>
    </row>
    <row r="5521" spans="107:116" ht="12.75" customHeight="1">
      <c r="DC5521" s="19"/>
      <c r="DL5521" s="13"/>
    </row>
    <row r="5522" spans="107:116" ht="12.75" customHeight="1">
      <c r="DC5522" s="19"/>
      <c r="DL5522" s="13"/>
    </row>
    <row r="5523" spans="107:116" ht="12.75" customHeight="1">
      <c r="DC5523" s="19"/>
      <c r="DL5523" s="13"/>
    </row>
    <row r="5524" spans="107:116" ht="12.75" customHeight="1">
      <c r="DC5524" s="19"/>
      <c r="DL5524" s="13"/>
    </row>
    <row r="5525" spans="107:116" ht="12.75" customHeight="1">
      <c r="DC5525" s="19"/>
      <c r="DL5525" s="13"/>
    </row>
    <row r="5526" spans="107:116" ht="12.75" customHeight="1">
      <c r="DC5526" s="19"/>
      <c r="DL5526" s="13"/>
    </row>
    <row r="5527" spans="107:116" ht="12.75" customHeight="1">
      <c r="DC5527" s="19"/>
      <c r="DL5527" s="13"/>
    </row>
    <row r="5528" spans="107:116" ht="12.75" customHeight="1">
      <c r="DC5528" s="19"/>
      <c r="DL5528" s="13"/>
    </row>
    <row r="5529" spans="107:116" ht="12.75" customHeight="1">
      <c r="DC5529" s="19"/>
      <c r="DL5529" s="13"/>
    </row>
    <row r="5530" spans="107:116" ht="12.75" customHeight="1">
      <c r="DC5530" s="19"/>
      <c r="DL5530" s="13"/>
    </row>
    <row r="5531" spans="107:116" ht="12.75" customHeight="1">
      <c r="DC5531" s="19"/>
      <c r="DL5531" s="13"/>
    </row>
    <row r="5532" spans="107:116" ht="12.75" customHeight="1">
      <c r="DC5532" s="19"/>
      <c r="DL5532" s="13"/>
    </row>
    <row r="5533" spans="107:116" ht="12.75" customHeight="1">
      <c r="DC5533" s="19"/>
      <c r="DL5533" s="13"/>
    </row>
    <row r="5534" spans="107:116" ht="12.75" customHeight="1">
      <c r="DC5534" s="19"/>
      <c r="DL5534" s="13"/>
    </row>
    <row r="5535" spans="107:116" ht="12.75" customHeight="1">
      <c r="DC5535" s="19"/>
      <c r="DL5535" s="13"/>
    </row>
    <row r="5536" spans="107:116" ht="12.75" customHeight="1">
      <c r="DC5536" s="19"/>
      <c r="DL5536" s="13"/>
    </row>
    <row r="5537" spans="107:116" ht="12.75" customHeight="1">
      <c r="DC5537" s="19"/>
      <c r="DL5537" s="13"/>
    </row>
    <row r="5538" spans="107:116" ht="12.75" customHeight="1">
      <c r="DC5538" s="19"/>
      <c r="DL5538" s="13"/>
    </row>
    <row r="5539" spans="107:116" ht="12.75" customHeight="1">
      <c r="DC5539" s="19"/>
      <c r="DL5539" s="13"/>
    </row>
    <row r="5540" spans="107:116" ht="12.75" customHeight="1">
      <c r="DC5540" s="19"/>
      <c r="DL5540" s="13"/>
    </row>
    <row r="5541" spans="107:116" ht="12.75" customHeight="1">
      <c r="DC5541" s="19"/>
      <c r="DL5541" s="13"/>
    </row>
    <row r="5542" spans="107:116" ht="12.75" customHeight="1">
      <c r="DC5542" s="19"/>
      <c r="DL5542" s="13"/>
    </row>
    <row r="5543" spans="107:116" ht="12.75" customHeight="1">
      <c r="DC5543" s="19"/>
      <c r="DL5543" s="13"/>
    </row>
    <row r="5544" spans="107:116" ht="12.75" customHeight="1">
      <c r="DC5544" s="19"/>
      <c r="DL5544" s="13"/>
    </row>
    <row r="5545" spans="107:116" ht="12.75" customHeight="1">
      <c r="DC5545" s="19"/>
      <c r="DL5545" s="13"/>
    </row>
    <row r="5546" spans="107:116" ht="12.75" customHeight="1">
      <c r="DC5546" s="19"/>
      <c r="DL5546" s="13"/>
    </row>
    <row r="5547" spans="107:116" ht="12.75" customHeight="1">
      <c r="DC5547" s="19"/>
      <c r="DL5547" s="13"/>
    </row>
    <row r="5548" spans="107:116" ht="12.75" customHeight="1">
      <c r="DC5548" s="19"/>
      <c r="DL5548" s="13"/>
    </row>
    <row r="5549" spans="107:116" ht="12.75" customHeight="1">
      <c r="DC5549" s="19"/>
      <c r="DL5549" s="13"/>
    </row>
    <row r="5550" spans="107:116" ht="12.75" customHeight="1">
      <c r="DC5550" s="19"/>
      <c r="DL5550" s="13"/>
    </row>
    <row r="5551" spans="107:116" ht="12.75" customHeight="1">
      <c r="DC5551" s="19"/>
      <c r="DL5551" s="13"/>
    </row>
    <row r="5552" spans="107:116" ht="12.75" customHeight="1">
      <c r="DC5552" s="19"/>
      <c r="DL5552" s="13"/>
    </row>
    <row r="5553" spans="107:116" ht="12.75" customHeight="1">
      <c r="DC5553" s="19"/>
      <c r="DL5553" s="13"/>
    </row>
    <row r="5554" spans="107:116" ht="12.75" customHeight="1">
      <c r="DC5554" s="19"/>
      <c r="DL5554" s="13"/>
    </row>
    <row r="5555" spans="107:116" ht="12.75" customHeight="1">
      <c r="DC5555" s="19"/>
      <c r="DL5555" s="13"/>
    </row>
    <row r="5556" spans="107:116" ht="12.75" customHeight="1">
      <c r="DC5556" s="19"/>
      <c r="DL5556" s="13"/>
    </row>
    <row r="5557" spans="107:116" ht="12.75" customHeight="1">
      <c r="DC5557" s="19"/>
      <c r="DL5557" s="13"/>
    </row>
    <row r="5558" spans="107:116" ht="12.75" customHeight="1">
      <c r="DC5558" s="19"/>
      <c r="DL5558" s="13"/>
    </row>
    <row r="5559" spans="107:116" ht="12.75" customHeight="1">
      <c r="DC5559" s="19"/>
      <c r="DL5559" s="13"/>
    </row>
    <row r="5560" spans="107:116" ht="12.75" customHeight="1">
      <c r="DC5560" s="19"/>
      <c r="DL5560" s="13"/>
    </row>
    <row r="5561" spans="107:116" ht="12.75" customHeight="1">
      <c r="DC5561" s="19"/>
      <c r="DL5561" s="13"/>
    </row>
    <row r="5562" spans="107:116" ht="12.75" customHeight="1">
      <c r="DC5562" s="19"/>
      <c r="DL5562" s="13"/>
    </row>
    <row r="5563" spans="107:116" ht="12.75" customHeight="1">
      <c r="DC5563" s="19"/>
      <c r="DL5563" s="13"/>
    </row>
    <row r="5564" spans="107:116" ht="12.75" customHeight="1">
      <c r="DC5564" s="19"/>
      <c r="DL5564" s="13"/>
    </row>
    <row r="5565" spans="107:116" ht="12.75" customHeight="1">
      <c r="DC5565" s="19"/>
      <c r="DL5565" s="13"/>
    </row>
    <row r="5566" spans="107:116" ht="12.75" customHeight="1">
      <c r="DC5566" s="19"/>
      <c r="DL5566" s="13"/>
    </row>
    <row r="5567" spans="107:116" ht="12.75" customHeight="1">
      <c r="DC5567" s="19"/>
      <c r="DL5567" s="13"/>
    </row>
    <row r="5568" spans="107:116" ht="12.75" customHeight="1">
      <c r="DC5568" s="19"/>
      <c r="DL5568" s="13"/>
    </row>
    <row r="5569" spans="107:116" ht="12.75" customHeight="1">
      <c r="DC5569" s="19"/>
      <c r="DL5569" s="13"/>
    </row>
    <row r="5570" spans="107:116" ht="12.75" customHeight="1">
      <c r="DC5570" s="19"/>
      <c r="DL5570" s="13"/>
    </row>
    <row r="5571" spans="107:116" ht="12.75" customHeight="1">
      <c r="DC5571" s="19"/>
      <c r="DL5571" s="13"/>
    </row>
    <row r="5572" spans="107:116" ht="12.75" customHeight="1">
      <c r="DC5572" s="19"/>
      <c r="DL5572" s="13"/>
    </row>
    <row r="5573" spans="107:116" ht="12.75" customHeight="1">
      <c r="DC5573" s="19"/>
      <c r="DL5573" s="13"/>
    </row>
    <row r="5574" spans="107:116" ht="12.75" customHeight="1">
      <c r="DC5574" s="19"/>
      <c r="DL5574" s="13"/>
    </row>
    <row r="5575" spans="107:116" ht="12.75" customHeight="1">
      <c r="DC5575" s="19"/>
      <c r="DL5575" s="13"/>
    </row>
    <row r="5576" spans="107:116" ht="12.75" customHeight="1">
      <c r="DC5576" s="19"/>
      <c r="DL5576" s="13"/>
    </row>
    <row r="5577" spans="107:116" ht="12.75" customHeight="1">
      <c r="DC5577" s="19"/>
      <c r="DL5577" s="13"/>
    </row>
    <row r="5578" spans="107:116" ht="12.75" customHeight="1">
      <c r="DC5578" s="19"/>
      <c r="DL5578" s="13"/>
    </row>
    <row r="5579" spans="107:116" ht="12.75" customHeight="1">
      <c r="DC5579" s="19"/>
      <c r="DL5579" s="13"/>
    </row>
    <row r="5580" spans="107:116" ht="12.75" customHeight="1">
      <c r="DC5580" s="19"/>
      <c r="DL5580" s="13"/>
    </row>
    <row r="5581" spans="107:116" ht="12.75" customHeight="1">
      <c r="DC5581" s="19"/>
      <c r="DL5581" s="13"/>
    </row>
    <row r="5582" spans="107:116" ht="12.75" customHeight="1">
      <c r="DC5582" s="19"/>
      <c r="DL5582" s="13"/>
    </row>
    <row r="5583" spans="107:116" ht="12.75" customHeight="1">
      <c r="DC5583" s="19"/>
      <c r="DL5583" s="13"/>
    </row>
    <row r="5584" spans="107:116" ht="12.75" customHeight="1">
      <c r="DC5584" s="19"/>
      <c r="DL5584" s="13"/>
    </row>
    <row r="5585" spans="107:116" ht="12.75" customHeight="1">
      <c r="DC5585" s="19"/>
      <c r="DL5585" s="13"/>
    </row>
    <row r="5586" spans="107:116" ht="12.75" customHeight="1">
      <c r="DC5586" s="19"/>
      <c r="DL5586" s="13"/>
    </row>
    <row r="5587" spans="107:116" ht="12.75" customHeight="1">
      <c r="DC5587" s="19"/>
      <c r="DL5587" s="13"/>
    </row>
    <row r="5588" spans="107:116" ht="12.75" customHeight="1">
      <c r="DC5588" s="19"/>
      <c r="DL5588" s="13"/>
    </row>
    <row r="5589" spans="107:116" ht="12.75" customHeight="1">
      <c r="DC5589" s="19"/>
      <c r="DL5589" s="13"/>
    </row>
    <row r="5590" spans="107:116" ht="12.75" customHeight="1">
      <c r="DC5590" s="19"/>
      <c r="DL5590" s="13"/>
    </row>
    <row r="5591" spans="107:116" ht="12.75" customHeight="1">
      <c r="DC5591" s="19"/>
      <c r="DL5591" s="13"/>
    </row>
    <row r="5592" spans="107:116" ht="12.75" customHeight="1">
      <c r="DC5592" s="19"/>
      <c r="DL5592" s="13"/>
    </row>
    <row r="5593" spans="107:116" ht="12.75" customHeight="1">
      <c r="DC5593" s="19"/>
      <c r="DL5593" s="13"/>
    </row>
    <row r="5594" spans="107:116" ht="12.75" customHeight="1">
      <c r="DC5594" s="19"/>
      <c r="DL5594" s="13"/>
    </row>
    <row r="5595" spans="107:116" ht="12.75" customHeight="1">
      <c r="DC5595" s="19"/>
      <c r="DL5595" s="13"/>
    </row>
    <row r="5596" spans="107:116" ht="12.75" customHeight="1">
      <c r="DC5596" s="19"/>
      <c r="DL5596" s="13"/>
    </row>
    <row r="5597" spans="107:116" ht="12.75" customHeight="1">
      <c r="DC5597" s="19"/>
      <c r="DL5597" s="13"/>
    </row>
    <row r="5598" spans="107:116" ht="12.75" customHeight="1">
      <c r="DC5598" s="19"/>
      <c r="DL5598" s="13"/>
    </row>
    <row r="5599" spans="107:116" ht="12.75" customHeight="1">
      <c r="DC5599" s="19"/>
      <c r="DL5599" s="13"/>
    </row>
    <row r="5600" spans="107:116" ht="12.75" customHeight="1">
      <c r="DC5600" s="19"/>
      <c r="DL5600" s="13"/>
    </row>
    <row r="5601" spans="107:116" ht="12.75" customHeight="1">
      <c r="DC5601" s="19"/>
      <c r="DL5601" s="13"/>
    </row>
    <row r="5602" spans="107:116" ht="12.75" customHeight="1">
      <c r="DC5602" s="19"/>
      <c r="DL5602" s="13"/>
    </row>
    <row r="5603" spans="107:116" ht="12.75" customHeight="1">
      <c r="DC5603" s="19"/>
      <c r="DL5603" s="13"/>
    </row>
    <row r="5604" spans="107:116" ht="12.75" customHeight="1">
      <c r="DC5604" s="19"/>
      <c r="DL5604" s="13"/>
    </row>
    <row r="5605" spans="107:116" ht="12.75" customHeight="1">
      <c r="DC5605" s="19"/>
      <c r="DL5605" s="13"/>
    </row>
    <row r="5606" spans="107:116" ht="12.75" customHeight="1">
      <c r="DC5606" s="19"/>
      <c r="DL5606" s="13"/>
    </row>
    <row r="5607" spans="107:116" ht="12.75" customHeight="1">
      <c r="DC5607" s="19"/>
      <c r="DL5607" s="13"/>
    </row>
    <row r="5608" spans="107:116" ht="12.75" customHeight="1">
      <c r="DC5608" s="19"/>
      <c r="DL5608" s="13"/>
    </row>
    <row r="5609" spans="107:116" ht="12.75" customHeight="1">
      <c r="DC5609" s="19"/>
      <c r="DL5609" s="13"/>
    </row>
    <row r="5610" spans="107:116" ht="12.75" customHeight="1">
      <c r="DC5610" s="19"/>
      <c r="DL5610" s="13"/>
    </row>
    <row r="5611" spans="107:116" ht="12.75" customHeight="1">
      <c r="DC5611" s="19"/>
      <c r="DL5611" s="13"/>
    </row>
    <row r="5612" spans="107:116" ht="12.75" customHeight="1">
      <c r="DC5612" s="19"/>
      <c r="DL5612" s="13"/>
    </row>
    <row r="5613" spans="107:116" ht="12.75" customHeight="1">
      <c r="DC5613" s="19"/>
      <c r="DL5613" s="13"/>
    </row>
    <row r="5614" spans="107:116" ht="12.75" customHeight="1">
      <c r="DC5614" s="19"/>
      <c r="DL5614" s="13"/>
    </row>
    <row r="5615" spans="107:116" ht="12.75" customHeight="1">
      <c r="DC5615" s="19"/>
      <c r="DL5615" s="13"/>
    </row>
    <row r="5616" spans="107:116" ht="12.75" customHeight="1">
      <c r="DC5616" s="19"/>
      <c r="DL5616" s="13"/>
    </row>
    <row r="5617" spans="107:116" ht="12.75" customHeight="1">
      <c r="DC5617" s="19"/>
      <c r="DL5617" s="13"/>
    </row>
    <row r="5618" spans="107:116" ht="12.75" customHeight="1">
      <c r="DC5618" s="19"/>
      <c r="DL5618" s="13"/>
    </row>
    <row r="5619" spans="107:116" ht="12.75" customHeight="1">
      <c r="DC5619" s="19"/>
      <c r="DL5619" s="13"/>
    </row>
    <row r="5620" spans="107:116" ht="12.75" customHeight="1">
      <c r="DC5620" s="19"/>
      <c r="DL5620" s="13"/>
    </row>
    <row r="5621" spans="107:116" ht="12.75" customHeight="1">
      <c r="DC5621" s="19"/>
      <c r="DL5621" s="13"/>
    </row>
    <row r="5622" spans="107:116" ht="12.75" customHeight="1">
      <c r="DC5622" s="19"/>
      <c r="DL5622" s="13"/>
    </row>
    <row r="5623" spans="107:116" ht="12.75" customHeight="1">
      <c r="DC5623" s="19"/>
      <c r="DL5623" s="13"/>
    </row>
    <row r="5624" spans="107:116" ht="12.75" customHeight="1">
      <c r="DC5624" s="19"/>
      <c r="DL5624" s="13"/>
    </row>
    <row r="5625" spans="107:116" ht="12.75" customHeight="1">
      <c r="DC5625" s="19"/>
      <c r="DL5625" s="13"/>
    </row>
    <row r="5626" spans="107:116" ht="12.75" customHeight="1">
      <c r="DC5626" s="19"/>
      <c r="DL5626" s="13"/>
    </row>
    <row r="5627" spans="107:116" ht="12.75" customHeight="1">
      <c r="DC5627" s="19"/>
      <c r="DL5627" s="13"/>
    </row>
    <row r="5628" spans="107:116" ht="12.75" customHeight="1">
      <c r="DC5628" s="19"/>
      <c r="DL5628" s="13"/>
    </row>
    <row r="5629" spans="107:116" ht="12.75" customHeight="1">
      <c r="DC5629" s="19"/>
      <c r="DL5629" s="13"/>
    </row>
    <row r="5630" spans="107:116" ht="12.75" customHeight="1">
      <c r="DC5630" s="19"/>
      <c r="DL5630" s="13"/>
    </row>
    <row r="5631" spans="107:116" ht="12.75" customHeight="1">
      <c r="DC5631" s="19"/>
      <c r="DL5631" s="13"/>
    </row>
    <row r="5632" spans="107:116" ht="12.75" customHeight="1">
      <c r="DC5632" s="19"/>
      <c r="DL5632" s="13"/>
    </row>
    <row r="5633" spans="107:116" ht="12.75" customHeight="1">
      <c r="DC5633" s="19"/>
      <c r="DL5633" s="13"/>
    </row>
    <row r="5634" spans="107:116" ht="12.75" customHeight="1">
      <c r="DC5634" s="19"/>
      <c r="DL5634" s="13"/>
    </row>
    <row r="5635" spans="107:116" ht="12.75" customHeight="1">
      <c r="DC5635" s="19"/>
      <c r="DL5635" s="13"/>
    </row>
    <row r="5636" spans="107:116" ht="12.75" customHeight="1">
      <c r="DC5636" s="19"/>
      <c r="DL5636" s="13"/>
    </row>
    <row r="5637" spans="107:116" ht="12.75" customHeight="1">
      <c r="DC5637" s="19"/>
      <c r="DL5637" s="13"/>
    </row>
    <row r="5638" spans="107:116" ht="12.75" customHeight="1">
      <c r="DC5638" s="19"/>
      <c r="DL5638" s="13"/>
    </row>
    <row r="5639" spans="107:116" ht="12.75" customHeight="1">
      <c r="DC5639" s="19"/>
      <c r="DL5639" s="13"/>
    </row>
    <row r="5640" spans="107:116" ht="12.75" customHeight="1">
      <c r="DC5640" s="19"/>
      <c r="DL5640" s="13"/>
    </row>
    <row r="5641" spans="107:116" ht="12.75" customHeight="1">
      <c r="DC5641" s="19"/>
      <c r="DL5641" s="13"/>
    </row>
    <row r="5642" spans="107:116" ht="12.75" customHeight="1">
      <c r="DC5642" s="19"/>
      <c r="DL5642" s="13"/>
    </row>
    <row r="5643" spans="107:116" ht="12.75" customHeight="1">
      <c r="DC5643" s="19"/>
      <c r="DL5643" s="13"/>
    </row>
    <row r="5644" spans="107:116" ht="12.75" customHeight="1">
      <c r="DC5644" s="19"/>
      <c r="DL5644" s="13"/>
    </row>
    <row r="5645" spans="107:116" ht="12.75" customHeight="1">
      <c r="DC5645" s="19"/>
      <c r="DL5645" s="13"/>
    </row>
    <row r="5646" spans="107:116" ht="12.75" customHeight="1">
      <c r="DC5646" s="19"/>
      <c r="DL5646" s="13"/>
    </row>
    <row r="5647" spans="107:116" ht="12.75" customHeight="1">
      <c r="DC5647" s="19"/>
      <c r="DL5647" s="13"/>
    </row>
    <row r="5648" spans="107:116" ht="12.75" customHeight="1">
      <c r="DC5648" s="19"/>
      <c r="DL5648" s="13"/>
    </row>
    <row r="5649" spans="107:116" ht="12.75" customHeight="1">
      <c r="DC5649" s="19"/>
      <c r="DL5649" s="13"/>
    </row>
    <row r="5650" spans="107:116" ht="12.75" customHeight="1">
      <c r="DC5650" s="19"/>
      <c r="DL5650" s="13"/>
    </row>
    <row r="5651" spans="107:116" ht="12.75" customHeight="1">
      <c r="DC5651" s="19"/>
      <c r="DL5651" s="13"/>
    </row>
    <row r="5652" spans="107:116" ht="12.75" customHeight="1">
      <c r="DC5652" s="19"/>
      <c r="DL5652" s="13"/>
    </row>
    <row r="5653" spans="107:116" ht="12.75" customHeight="1">
      <c r="DC5653" s="19"/>
      <c r="DL5653" s="13"/>
    </row>
    <row r="5654" spans="107:116" ht="12.75" customHeight="1">
      <c r="DC5654" s="19"/>
      <c r="DL5654" s="13"/>
    </row>
    <row r="5655" spans="107:116" ht="12.75" customHeight="1">
      <c r="DC5655" s="19"/>
      <c r="DL5655" s="13"/>
    </row>
    <row r="5656" spans="107:116" ht="12.75" customHeight="1">
      <c r="DC5656" s="19"/>
      <c r="DL5656" s="13"/>
    </row>
    <row r="5657" spans="107:116" ht="12.75" customHeight="1">
      <c r="DC5657" s="19"/>
      <c r="DL5657" s="13"/>
    </row>
    <row r="5658" spans="107:116" ht="12.75" customHeight="1">
      <c r="DC5658" s="19"/>
      <c r="DL5658" s="13"/>
    </row>
    <row r="5659" spans="107:116" ht="12.75" customHeight="1">
      <c r="DC5659" s="19"/>
      <c r="DL5659" s="13"/>
    </row>
    <row r="5660" spans="107:116" ht="12.75" customHeight="1">
      <c r="DC5660" s="19"/>
      <c r="DL5660" s="13"/>
    </row>
    <row r="5661" spans="107:116" ht="12.75" customHeight="1">
      <c r="DC5661" s="19"/>
      <c r="DL5661" s="13"/>
    </row>
    <row r="5662" spans="107:116" ht="12.75" customHeight="1">
      <c r="DC5662" s="19"/>
      <c r="DL5662" s="13"/>
    </row>
    <row r="5663" spans="107:116" ht="12.75" customHeight="1">
      <c r="DC5663" s="19"/>
      <c r="DL5663" s="13"/>
    </row>
    <row r="5664" spans="107:116" ht="12.75" customHeight="1">
      <c r="DC5664" s="19"/>
      <c r="DL5664" s="13"/>
    </row>
    <row r="5665" spans="107:116" ht="12.75" customHeight="1">
      <c r="DC5665" s="19"/>
      <c r="DL5665" s="13"/>
    </row>
    <row r="5666" spans="107:116" ht="12.75" customHeight="1">
      <c r="DC5666" s="19"/>
      <c r="DL5666" s="13"/>
    </row>
    <row r="5667" spans="107:116" ht="12.75" customHeight="1">
      <c r="DC5667" s="19"/>
      <c r="DL5667" s="13"/>
    </row>
    <row r="5668" spans="107:116" ht="12.75" customHeight="1">
      <c r="DC5668" s="19"/>
      <c r="DL5668" s="13"/>
    </row>
    <row r="5669" spans="107:116" ht="12.75" customHeight="1">
      <c r="DC5669" s="19"/>
      <c r="DL5669" s="13"/>
    </row>
    <row r="5670" spans="107:116" ht="12.75" customHeight="1">
      <c r="DC5670" s="19"/>
      <c r="DL5670" s="13"/>
    </row>
    <row r="5671" spans="107:116" ht="12.75" customHeight="1">
      <c r="DC5671" s="19"/>
      <c r="DL5671" s="13"/>
    </row>
    <row r="5672" spans="107:116" ht="12.75" customHeight="1">
      <c r="DC5672" s="19"/>
      <c r="DL5672" s="13"/>
    </row>
    <row r="5673" spans="107:116" ht="12.75" customHeight="1">
      <c r="DC5673" s="19"/>
      <c r="DL5673" s="13"/>
    </row>
    <row r="5674" spans="107:116" ht="12.75" customHeight="1">
      <c r="DC5674" s="19"/>
      <c r="DL5674" s="13"/>
    </row>
    <row r="5675" spans="107:116" ht="12.75" customHeight="1">
      <c r="DC5675" s="19"/>
      <c r="DL5675" s="13"/>
    </row>
    <row r="5676" spans="107:116" ht="12.75" customHeight="1">
      <c r="DC5676" s="19"/>
      <c r="DL5676" s="13"/>
    </row>
    <row r="5677" spans="107:116" ht="12.75" customHeight="1">
      <c r="DC5677" s="19"/>
      <c r="DL5677" s="13"/>
    </row>
    <row r="5678" spans="107:116" ht="12.75" customHeight="1">
      <c r="DC5678" s="19"/>
      <c r="DL5678" s="13"/>
    </row>
    <row r="5679" spans="107:116" ht="12.75" customHeight="1">
      <c r="DC5679" s="19"/>
      <c r="DL5679" s="13"/>
    </row>
    <row r="5680" spans="107:116" ht="12.75" customHeight="1">
      <c r="DC5680" s="19"/>
      <c r="DL5680" s="13"/>
    </row>
    <row r="5681" spans="107:116" ht="12.75" customHeight="1">
      <c r="DC5681" s="19"/>
      <c r="DL5681" s="13"/>
    </row>
    <row r="5682" spans="107:116" ht="12.75" customHeight="1">
      <c r="DC5682" s="19"/>
      <c r="DL5682" s="13"/>
    </row>
    <row r="5683" spans="107:116" ht="12.75" customHeight="1">
      <c r="DC5683" s="19"/>
      <c r="DL5683" s="13"/>
    </row>
    <row r="5684" spans="107:116" ht="12.75" customHeight="1">
      <c r="DC5684" s="19"/>
      <c r="DL5684" s="13"/>
    </row>
    <row r="5685" spans="107:116" ht="12.75" customHeight="1">
      <c r="DC5685" s="19"/>
      <c r="DL5685" s="13"/>
    </row>
    <row r="5686" spans="107:116" ht="12.75" customHeight="1">
      <c r="DC5686" s="19"/>
      <c r="DL5686" s="13"/>
    </row>
    <row r="5687" spans="107:116" ht="12.75" customHeight="1">
      <c r="DC5687" s="19"/>
      <c r="DL5687" s="13"/>
    </row>
    <row r="5688" spans="107:116" ht="12.75" customHeight="1">
      <c r="DC5688" s="19"/>
      <c r="DL5688" s="13"/>
    </row>
    <row r="5689" spans="107:116" ht="12.75" customHeight="1">
      <c r="DC5689" s="19"/>
      <c r="DL5689" s="13"/>
    </row>
    <row r="5690" spans="107:116" ht="12.75" customHeight="1">
      <c r="DC5690" s="19"/>
      <c r="DL5690" s="13"/>
    </row>
    <row r="5691" spans="107:116" ht="12.75" customHeight="1">
      <c r="DC5691" s="19"/>
      <c r="DL5691" s="13"/>
    </row>
    <row r="5692" spans="107:116" ht="12.75" customHeight="1">
      <c r="DC5692" s="19"/>
      <c r="DL5692" s="13"/>
    </row>
    <row r="5693" spans="107:116" ht="12.75" customHeight="1">
      <c r="DC5693" s="19"/>
      <c r="DL5693" s="13"/>
    </row>
    <row r="5694" spans="107:116" ht="12.75" customHeight="1">
      <c r="DC5694" s="19"/>
      <c r="DL5694" s="13"/>
    </row>
    <row r="5695" spans="107:116" ht="12.75" customHeight="1">
      <c r="DC5695" s="19"/>
      <c r="DL5695" s="13"/>
    </row>
    <row r="5696" spans="107:116" ht="12.75" customHeight="1">
      <c r="DC5696" s="19"/>
      <c r="DL5696" s="13"/>
    </row>
    <row r="5697" spans="107:116" ht="12.75" customHeight="1">
      <c r="DC5697" s="19"/>
      <c r="DL5697" s="13"/>
    </row>
    <row r="5698" spans="107:116" ht="12.75" customHeight="1">
      <c r="DC5698" s="19"/>
      <c r="DL5698" s="13"/>
    </row>
    <row r="5699" spans="107:116" ht="12.75" customHeight="1">
      <c r="DC5699" s="19"/>
      <c r="DL5699" s="13"/>
    </row>
    <row r="5700" spans="107:116" ht="12.75" customHeight="1">
      <c r="DC5700" s="19"/>
      <c r="DL5700" s="13"/>
    </row>
    <row r="5701" spans="107:116" ht="12.75" customHeight="1">
      <c r="DC5701" s="19"/>
      <c r="DL5701" s="13"/>
    </row>
    <row r="5702" spans="107:116" ht="12.75" customHeight="1">
      <c r="DC5702" s="19"/>
      <c r="DL5702" s="13"/>
    </row>
    <row r="5703" spans="107:116" ht="12.75" customHeight="1">
      <c r="DC5703" s="19"/>
      <c r="DL5703" s="13"/>
    </row>
    <row r="5704" spans="107:116" ht="12.75" customHeight="1">
      <c r="DC5704" s="19"/>
      <c r="DL5704" s="13"/>
    </row>
    <row r="5705" spans="107:116" ht="12.75" customHeight="1">
      <c r="DC5705" s="19"/>
      <c r="DL5705" s="13"/>
    </row>
    <row r="5706" spans="107:116" ht="12.75" customHeight="1">
      <c r="DC5706" s="19"/>
      <c r="DL5706" s="13"/>
    </row>
    <row r="5707" spans="107:116" ht="12.75" customHeight="1">
      <c r="DC5707" s="19"/>
      <c r="DL5707" s="13"/>
    </row>
    <row r="5708" spans="107:116" ht="12.75" customHeight="1">
      <c r="DC5708" s="19"/>
      <c r="DL5708" s="13"/>
    </row>
    <row r="5709" spans="107:116" ht="12.75" customHeight="1">
      <c r="DC5709" s="19"/>
      <c r="DL5709" s="13"/>
    </row>
    <row r="5710" spans="107:116" ht="12.75" customHeight="1">
      <c r="DC5710" s="19"/>
      <c r="DL5710" s="13"/>
    </row>
    <row r="5711" spans="107:116" ht="12.75" customHeight="1">
      <c r="DC5711" s="19"/>
      <c r="DL5711" s="13"/>
    </row>
    <row r="5712" spans="107:116" ht="12.75" customHeight="1">
      <c r="DC5712" s="19"/>
      <c r="DL5712" s="13"/>
    </row>
    <row r="5713" spans="107:116" ht="12.75" customHeight="1">
      <c r="DC5713" s="19"/>
      <c r="DL5713" s="13"/>
    </row>
    <row r="5714" spans="107:116" ht="12.75" customHeight="1">
      <c r="DC5714" s="19"/>
      <c r="DL5714" s="13"/>
    </row>
    <row r="5715" spans="107:116" ht="12.75" customHeight="1">
      <c r="DC5715" s="19"/>
      <c r="DL5715" s="13"/>
    </row>
    <row r="5716" spans="107:116" ht="12.75" customHeight="1">
      <c r="DC5716" s="19"/>
      <c r="DL5716" s="13"/>
    </row>
    <row r="5717" spans="107:116" ht="12.75" customHeight="1">
      <c r="DC5717" s="19"/>
      <c r="DL5717" s="13"/>
    </row>
    <row r="5718" spans="107:116" ht="12.75" customHeight="1">
      <c r="DC5718" s="19"/>
      <c r="DL5718" s="13"/>
    </row>
    <row r="5719" spans="107:116" ht="12.75" customHeight="1">
      <c r="DC5719" s="19"/>
      <c r="DL5719" s="13"/>
    </row>
    <row r="5720" spans="107:116" ht="12.75" customHeight="1">
      <c r="DC5720" s="19"/>
      <c r="DL5720" s="13"/>
    </row>
    <row r="5721" spans="107:116" ht="12.75" customHeight="1">
      <c r="DC5721" s="19"/>
      <c r="DL5721" s="13"/>
    </row>
    <row r="5722" spans="107:116" ht="12.75" customHeight="1">
      <c r="DC5722" s="19"/>
      <c r="DL5722" s="13"/>
    </row>
    <row r="5723" spans="107:116" ht="12.75" customHeight="1">
      <c r="DC5723" s="19"/>
      <c r="DL5723" s="13"/>
    </row>
    <row r="5724" spans="107:116" ht="12.75" customHeight="1">
      <c r="DC5724" s="19"/>
      <c r="DL5724" s="13"/>
    </row>
    <row r="5725" spans="107:116" ht="12.75" customHeight="1">
      <c r="DC5725" s="19"/>
      <c r="DL5725" s="13"/>
    </row>
    <row r="5726" spans="107:116" ht="12.75" customHeight="1">
      <c r="DC5726" s="19"/>
      <c r="DL5726" s="13"/>
    </row>
    <row r="5727" spans="107:116" ht="12.75" customHeight="1">
      <c r="DC5727" s="19"/>
      <c r="DL5727" s="13"/>
    </row>
    <row r="5728" spans="107:116" ht="12.75" customHeight="1">
      <c r="DC5728" s="19"/>
      <c r="DL5728" s="13"/>
    </row>
    <row r="5729" spans="107:116" ht="12.75" customHeight="1">
      <c r="DC5729" s="19"/>
      <c r="DL5729" s="13"/>
    </row>
    <row r="5730" spans="107:116" ht="12.75" customHeight="1">
      <c r="DC5730" s="19"/>
      <c r="DL5730" s="13"/>
    </row>
    <row r="5731" spans="107:116" ht="12.75" customHeight="1">
      <c r="DC5731" s="19"/>
      <c r="DL5731" s="13"/>
    </row>
    <row r="5732" spans="107:116" ht="12.75" customHeight="1">
      <c r="DC5732" s="19"/>
      <c r="DL5732" s="13"/>
    </row>
    <row r="5733" spans="107:116" ht="12.75" customHeight="1">
      <c r="DC5733" s="19"/>
      <c r="DL5733" s="13"/>
    </row>
    <row r="5734" spans="107:116" ht="12.75" customHeight="1">
      <c r="DC5734" s="19"/>
      <c r="DL5734" s="13"/>
    </row>
    <row r="5735" spans="107:116" ht="12.75" customHeight="1">
      <c r="DC5735" s="19"/>
      <c r="DL5735" s="13"/>
    </row>
    <row r="5736" spans="107:116" ht="12.75" customHeight="1">
      <c r="DC5736" s="19"/>
      <c r="DL5736" s="13"/>
    </row>
    <row r="5737" spans="107:116" ht="12.75" customHeight="1">
      <c r="DC5737" s="19"/>
      <c r="DL5737" s="13"/>
    </row>
    <row r="5738" spans="107:116" ht="12.75" customHeight="1">
      <c r="DC5738" s="19"/>
      <c r="DL5738" s="13"/>
    </row>
    <row r="5739" spans="107:116" ht="12.75" customHeight="1">
      <c r="DC5739" s="19"/>
      <c r="DL5739" s="13"/>
    </row>
    <row r="5740" spans="107:116" ht="12.75" customHeight="1">
      <c r="DC5740" s="19"/>
      <c r="DL5740" s="13"/>
    </row>
    <row r="5741" spans="107:116" ht="12.75" customHeight="1">
      <c r="DC5741" s="19"/>
      <c r="DL5741" s="13"/>
    </row>
    <row r="5742" spans="107:116" ht="12.75" customHeight="1">
      <c r="DC5742" s="19"/>
      <c r="DL5742" s="13"/>
    </row>
    <row r="5743" spans="107:116" ht="12.75" customHeight="1">
      <c r="DC5743" s="19"/>
      <c r="DL5743" s="13"/>
    </row>
    <row r="5744" spans="107:116" ht="12.75" customHeight="1">
      <c r="DC5744" s="19"/>
      <c r="DL5744" s="13"/>
    </row>
    <row r="5745" spans="107:116" ht="12.75" customHeight="1">
      <c r="DC5745" s="19"/>
      <c r="DL5745" s="13"/>
    </row>
    <row r="5746" spans="107:116" ht="12.75" customHeight="1">
      <c r="DC5746" s="19"/>
      <c r="DL5746" s="13"/>
    </row>
    <row r="5747" spans="107:116" ht="12.75" customHeight="1">
      <c r="DC5747" s="19"/>
      <c r="DL5747" s="13"/>
    </row>
    <row r="5748" spans="107:116" ht="12.75" customHeight="1">
      <c r="DC5748" s="19"/>
      <c r="DL5748" s="13"/>
    </row>
    <row r="5749" spans="107:116" ht="12.75" customHeight="1">
      <c r="DC5749" s="19"/>
      <c r="DL5749" s="13"/>
    </row>
    <row r="5750" spans="107:116" ht="12.75" customHeight="1">
      <c r="DC5750" s="19"/>
      <c r="DL5750" s="13"/>
    </row>
    <row r="5751" spans="107:116" ht="12.75" customHeight="1">
      <c r="DC5751" s="19"/>
      <c r="DL5751" s="13"/>
    </row>
    <row r="5752" spans="107:116" ht="12.75" customHeight="1">
      <c r="DC5752" s="19"/>
      <c r="DL5752" s="13"/>
    </row>
    <row r="5753" spans="107:116" ht="12.75" customHeight="1">
      <c r="DC5753" s="19"/>
      <c r="DL5753" s="13"/>
    </row>
    <row r="5754" spans="107:116" ht="12.75" customHeight="1">
      <c r="DC5754" s="19"/>
      <c r="DL5754" s="13"/>
    </row>
    <row r="5755" spans="107:116" ht="12.75" customHeight="1">
      <c r="DC5755" s="19"/>
      <c r="DL5755" s="13"/>
    </row>
    <row r="5756" spans="107:116" ht="12.75" customHeight="1">
      <c r="DC5756" s="19"/>
      <c r="DL5756" s="13"/>
    </row>
    <row r="5757" spans="107:116" ht="12.75" customHeight="1">
      <c r="DC5757" s="19"/>
      <c r="DL5757" s="13"/>
    </row>
    <row r="5758" spans="107:116" ht="12.75" customHeight="1">
      <c r="DC5758" s="19"/>
      <c r="DL5758" s="13"/>
    </row>
    <row r="5759" spans="107:116" ht="12.75" customHeight="1">
      <c r="DC5759" s="19"/>
      <c r="DL5759" s="13"/>
    </row>
    <row r="5760" spans="107:116" ht="12.75" customHeight="1">
      <c r="DC5760" s="19"/>
      <c r="DL5760" s="13"/>
    </row>
    <row r="5761" spans="107:116" ht="12.75" customHeight="1">
      <c r="DC5761" s="19"/>
      <c r="DL5761" s="13"/>
    </row>
    <row r="5762" spans="107:116" ht="12.75" customHeight="1">
      <c r="DC5762" s="19"/>
      <c r="DL5762" s="13"/>
    </row>
    <row r="5763" spans="107:116" ht="12.75" customHeight="1">
      <c r="DC5763" s="19"/>
      <c r="DL5763" s="13"/>
    </row>
    <row r="5764" spans="107:116" ht="12.75" customHeight="1">
      <c r="DC5764" s="19"/>
      <c r="DL5764" s="13"/>
    </row>
    <row r="5765" spans="107:116" ht="12.75" customHeight="1">
      <c r="DC5765" s="19"/>
      <c r="DL5765" s="13"/>
    </row>
    <row r="5766" spans="107:116" ht="12.75" customHeight="1">
      <c r="DC5766" s="19"/>
      <c r="DL5766" s="13"/>
    </row>
    <row r="5767" spans="107:116" ht="12.75" customHeight="1">
      <c r="DC5767" s="19"/>
      <c r="DL5767" s="13"/>
    </row>
    <row r="5768" spans="107:116" ht="12.75" customHeight="1">
      <c r="DC5768" s="19"/>
      <c r="DL5768" s="13"/>
    </row>
    <row r="5769" spans="107:116" ht="12.75" customHeight="1">
      <c r="DC5769" s="19"/>
      <c r="DL5769" s="13"/>
    </row>
    <row r="5770" spans="107:116" ht="12.75" customHeight="1">
      <c r="DC5770" s="19"/>
      <c r="DL5770" s="13"/>
    </row>
    <row r="5771" spans="107:116" ht="12.75" customHeight="1">
      <c r="DC5771" s="19"/>
      <c r="DL5771" s="13"/>
    </row>
    <row r="5772" spans="107:116" ht="12.75" customHeight="1">
      <c r="DC5772" s="19"/>
      <c r="DL5772" s="13"/>
    </row>
    <row r="5773" spans="107:116" ht="12.75" customHeight="1">
      <c r="DC5773" s="19"/>
      <c r="DL5773" s="13"/>
    </row>
    <row r="5774" spans="107:116" ht="12.75" customHeight="1">
      <c r="DC5774" s="19"/>
      <c r="DL5774" s="13"/>
    </row>
    <row r="5775" spans="107:116" ht="12.75" customHeight="1">
      <c r="DC5775" s="19"/>
      <c r="DL5775" s="13"/>
    </row>
    <row r="5776" spans="107:116" ht="12.75" customHeight="1">
      <c r="DC5776" s="19"/>
      <c r="DL5776" s="13"/>
    </row>
    <row r="5777" spans="107:116" ht="12.75" customHeight="1">
      <c r="DC5777" s="19"/>
      <c r="DL5777" s="13"/>
    </row>
    <row r="5778" spans="107:116" ht="12.75" customHeight="1">
      <c r="DC5778" s="19"/>
      <c r="DL5778" s="13"/>
    </row>
    <row r="5779" spans="107:116" ht="12.75" customHeight="1">
      <c r="DC5779" s="19"/>
      <c r="DL5779" s="13"/>
    </row>
    <row r="5780" spans="107:116" ht="12.75" customHeight="1">
      <c r="DC5780" s="19"/>
      <c r="DL5780" s="13"/>
    </row>
    <row r="5781" spans="107:116" ht="12.75" customHeight="1">
      <c r="DC5781" s="19"/>
      <c r="DL5781" s="13"/>
    </row>
    <row r="5782" spans="107:116" ht="12.75" customHeight="1">
      <c r="DC5782" s="19"/>
      <c r="DL5782" s="13"/>
    </row>
    <row r="5783" spans="107:116" ht="12.75" customHeight="1">
      <c r="DC5783" s="19"/>
      <c r="DL5783" s="13"/>
    </row>
    <row r="5784" spans="107:116" ht="12.75" customHeight="1">
      <c r="DC5784" s="19"/>
      <c r="DL5784" s="13"/>
    </row>
    <row r="5785" spans="107:116" ht="12.75" customHeight="1">
      <c r="DC5785" s="19"/>
      <c r="DL5785" s="13"/>
    </row>
    <row r="5786" spans="107:116" ht="12.75" customHeight="1">
      <c r="DC5786" s="19"/>
      <c r="DL5786" s="13"/>
    </row>
    <row r="5787" spans="107:116" ht="12.75" customHeight="1">
      <c r="DC5787" s="19"/>
      <c r="DL5787" s="13"/>
    </row>
    <row r="5788" spans="107:116" ht="12.75" customHeight="1">
      <c r="DC5788" s="19"/>
      <c r="DL5788" s="13"/>
    </row>
    <row r="5789" spans="107:116" ht="12.75" customHeight="1">
      <c r="DC5789" s="19"/>
      <c r="DL5789" s="13"/>
    </row>
    <row r="5790" spans="107:116" ht="12.75" customHeight="1">
      <c r="DC5790" s="19"/>
      <c r="DL5790" s="13"/>
    </row>
    <row r="5791" spans="107:116" ht="12.75" customHeight="1">
      <c r="DC5791" s="19"/>
      <c r="DL5791" s="13"/>
    </row>
    <row r="5792" spans="107:116" ht="12.75" customHeight="1">
      <c r="DC5792" s="19"/>
      <c r="DL5792" s="13"/>
    </row>
    <row r="5793" spans="107:116" ht="12.75" customHeight="1">
      <c r="DC5793" s="19"/>
      <c r="DL5793" s="13"/>
    </row>
    <row r="5794" spans="107:116" ht="12.75" customHeight="1">
      <c r="DC5794" s="19"/>
      <c r="DL5794" s="13"/>
    </row>
    <row r="5795" spans="107:116" ht="12.75" customHeight="1">
      <c r="DC5795" s="19"/>
      <c r="DL5795" s="13"/>
    </row>
    <row r="5796" spans="107:116" ht="12.75" customHeight="1">
      <c r="DC5796" s="19"/>
      <c r="DL5796" s="13"/>
    </row>
    <row r="5797" spans="107:116" ht="12.75" customHeight="1">
      <c r="DC5797" s="19"/>
      <c r="DL5797" s="13"/>
    </row>
    <row r="5798" spans="107:116" ht="12.75" customHeight="1">
      <c r="DC5798" s="19"/>
      <c r="DL5798" s="13"/>
    </row>
    <row r="5799" spans="107:116" ht="12.75" customHeight="1">
      <c r="DC5799" s="19"/>
      <c r="DL5799" s="13"/>
    </row>
    <row r="5800" spans="107:116" ht="12.75" customHeight="1">
      <c r="DC5800" s="19"/>
      <c r="DL5800" s="13"/>
    </row>
    <row r="5801" spans="107:116" ht="12.75" customHeight="1">
      <c r="DC5801" s="19"/>
      <c r="DL5801" s="13"/>
    </row>
    <row r="5802" spans="107:116" ht="12.75" customHeight="1">
      <c r="DC5802" s="19"/>
      <c r="DL5802" s="13"/>
    </row>
    <row r="5803" spans="107:116" ht="12.75" customHeight="1">
      <c r="DC5803" s="19"/>
      <c r="DL5803" s="13"/>
    </row>
    <row r="5804" spans="107:116" ht="12.75" customHeight="1">
      <c r="DC5804" s="19"/>
      <c r="DL5804" s="13"/>
    </row>
    <row r="5805" spans="107:116" ht="12.75" customHeight="1">
      <c r="DC5805" s="19"/>
      <c r="DL5805" s="13"/>
    </row>
    <row r="5806" spans="107:116" ht="12.75" customHeight="1">
      <c r="DC5806" s="19"/>
      <c r="DL5806" s="13"/>
    </row>
    <row r="5807" spans="107:116" ht="12.75" customHeight="1">
      <c r="DC5807" s="19"/>
      <c r="DL5807" s="13"/>
    </row>
    <row r="5808" spans="107:116" ht="12.75" customHeight="1">
      <c r="DC5808" s="19"/>
      <c r="DL5808" s="13"/>
    </row>
    <row r="5809" spans="107:116" ht="12.75" customHeight="1">
      <c r="DC5809" s="19"/>
      <c r="DL5809" s="13"/>
    </row>
    <row r="5810" spans="107:116" ht="12.75" customHeight="1">
      <c r="DC5810" s="19"/>
      <c r="DL5810" s="13"/>
    </row>
    <row r="5811" spans="107:116" ht="12.75" customHeight="1">
      <c r="DC5811" s="19"/>
      <c r="DL5811" s="13"/>
    </row>
    <row r="5812" spans="107:116" ht="12.75" customHeight="1">
      <c r="DC5812" s="19"/>
      <c r="DL5812" s="13"/>
    </row>
    <row r="5813" spans="107:116" ht="12.75" customHeight="1">
      <c r="DC5813" s="19"/>
      <c r="DL5813" s="13"/>
    </row>
    <row r="5814" spans="107:116" ht="12.75" customHeight="1">
      <c r="DC5814" s="19"/>
      <c r="DL5814" s="13"/>
    </row>
    <row r="5815" spans="107:116" ht="12.75" customHeight="1">
      <c r="DC5815" s="19"/>
      <c r="DL5815" s="13"/>
    </row>
    <row r="5816" spans="107:116" ht="12.75" customHeight="1">
      <c r="DC5816" s="19"/>
      <c r="DL5816" s="13"/>
    </row>
    <row r="5817" spans="107:116" ht="12.75" customHeight="1">
      <c r="DC5817" s="19"/>
      <c r="DL5817" s="13"/>
    </row>
    <row r="5818" spans="107:116" ht="12.75" customHeight="1">
      <c r="DC5818" s="19"/>
      <c r="DL5818" s="13"/>
    </row>
    <row r="5819" spans="107:116" ht="12.75" customHeight="1">
      <c r="DC5819" s="19"/>
      <c r="DL5819" s="13"/>
    </row>
    <row r="5820" spans="107:116" ht="12.75" customHeight="1">
      <c r="DC5820" s="19"/>
      <c r="DL5820" s="13"/>
    </row>
    <row r="5821" spans="107:116" ht="12.75" customHeight="1">
      <c r="DC5821" s="19"/>
      <c r="DL5821" s="13"/>
    </row>
    <row r="5822" spans="107:116" ht="12.75" customHeight="1">
      <c r="DC5822" s="19"/>
      <c r="DL5822" s="13"/>
    </row>
    <row r="5823" spans="107:116" ht="12.75" customHeight="1">
      <c r="DC5823" s="19"/>
      <c r="DL5823" s="13"/>
    </row>
    <row r="5824" spans="107:116" ht="12.75" customHeight="1">
      <c r="DC5824" s="19"/>
      <c r="DL5824" s="13"/>
    </row>
    <row r="5825" spans="107:116" ht="12.75" customHeight="1">
      <c r="DC5825" s="19"/>
      <c r="DL5825" s="13"/>
    </row>
    <row r="5826" spans="107:116" ht="12.75" customHeight="1">
      <c r="DC5826" s="19"/>
      <c r="DL5826" s="13"/>
    </row>
    <row r="5827" spans="107:116" ht="12.75" customHeight="1">
      <c r="DC5827" s="19"/>
      <c r="DL5827" s="13"/>
    </row>
    <row r="5828" spans="107:116" ht="12.75" customHeight="1">
      <c r="DC5828" s="19"/>
      <c r="DL5828" s="13"/>
    </row>
    <row r="5829" spans="107:116" ht="12.75" customHeight="1">
      <c r="DC5829" s="19"/>
      <c r="DL5829" s="13"/>
    </row>
    <row r="5830" spans="107:116" ht="12.75" customHeight="1">
      <c r="DC5830" s="19"/>
      <c r="DL5830" s="13"/>
    </row>
    <row r="5831" spans="107:116" ht="12.75" customHeight="1">
      <c r="DC5831" s="19"/>
      <c r="DL5831" s="13"/>
    </row>
    <row r="5832" spans="107:116" ht="12.75" customHeight="1">
      <c r="DC5832" s="19"/>
      <c r="DL5832" s="13"/>
    </row>
    <row r="5833" spans="107:116" ht="12.75" customHeight="1">
      <c r="DC5833" s="19"/>
      <c r="DL5833" s="13"/>
    </row>
    <row r="5834" spans="107:116" ht="12.75" customHeight="1">
      <c r="DC5834" s="19"/>
      <c r="DL5834" s="13"/>
    </row>
    <row r="5835" spans="107:116" ht="12.75" customHeight="1">
      <c r="DC5835" s="19"/>
      <c r="DL5835" s="13"/>
    </row>
    <row r="5836" spans="107:116" ht="12.75" customHeight="1">
      <c r="DC5836" s="19"/>
      <c r="DL5836" s="13"/>
    </row>
    <row r="5837" spans="107:116" ht="12.75" customHeight="1">
      <c r="DC5837" s="19"/>
      <c r="DL5837" s="13"/>
    </row>
    <row r="5838" spans="107:116" ht="12.75" customHeight="1">
      <c r="DC5838" s="19"/>
      <c r="DL5838" s="13"/>
    </row>
    <row r="5839" spans="107:116" ht="12.75" customHeight="1">
      <c r="DC5839" s="19"/>
      <c r="DL5839" s="13"/>
    </row>
    <row r="5840" spans="107:116" ht="12.75" customHeight="1">
      <c r="DC5840" s="19"/>
      <c r="DL5840" s="13"/>
    </row>
    <row r="5841" spans="107:116" ht="12.75" customHeight="1">
      <c r="DC5841" s="19"/>
      <c r="DL5841" s="13"/>
    </row>
    <row r="5842" spans="107:116" ht="12.75" customHeight="1">
      <c r="DC5842" s="19"/>
      <c r="DL5842" s="13"/>
    </row>
    <row r="5843" spans="107:116" ht="12.75" customHeight="1">
      <c r="DC5843" s="19"/>
      <c r="DL5843" s="13"/>
    </row>
    <row r="5844" spans="107:116" ht="12.75" customHeight="1">
      <c r="DC5844" s="19"/>
      <c r="DL5844" s="13"/>
    </row>
    <row r="5845" spans="107:116" ht="12.75" customHeight="1">
      <c r="DC5845" s="19"/>
      <c r="DL5845" s="13"/>
    </row>
    <row r="5846" spans="107:116" ht="12.75" customHeight="1">
      <c r="DC5846" s="19"/>
      <c r="DL5846" s="13"/>
    </row>
    <row r="5847" spans="107:116" ht="12.75" customHeight="1">
      <c r="DC5847" s="19"/>
      <c r="DL5847" s="13"/>
    </row>
    <row r="5848" spans="107:116" ht="12.75" customHeight="1">
      <c r="DC5848" s="19"/>
      <c r="DL5848" s="13"/>
    </row>
    <row r="5849" spans="107:116" ht="12.75" customHeight="1">
      <c r="DC5849" s="19"/>
      <c r="DL5849" s="13"/>
    </row>
    <row r="5850" spans="107:116" ht="12.75" customHeight="1">
      <c r="DC5850" s="19"/>
      <c r="DL5850" s="13"/>
    </row>
    <row r="5851" spans="107:116" ht="12.75" customHeight="1">
      <c r="DC5851" s="19"/>
      <c r="DL5851" s="13"/>
    </row>
    <row r="5852" spans="107:116" ht="12.75" customHeight="1">
      <c r="DC5852" s="19"/>
      <c r="DL5852" s="13"/>
    </row>
    <row r="5853" spans="107:116" ht="12.75" customHeight="1">
      <c r="DC5853" s="19"/>
      <c r="DL5853" s="13"/>
    </row>
    <row r="5854" spans="107:116" ht="12.75" customHeight="1">
      <c r="DC5854" s="19"/>
      <c r="DL5854" s="13"/>
    </row>
    <row r="5855" spans="107:116" ht="12.75" customHeight="1">
      <c r="DC5855" s="19"/>
      <c r="DL5855" s="13"/>
    </row>
    <row r="5856" spans="107:116" ht="12.75" customHeight="1">
      <c r="DC5856" s="19"/>
      <c r="DL5856" s="13"/>
    </row>
    <row r="5857" spans="107:116" ht="12.75" customHeight="1">
      <c r="DC5857" s="19"/>
      <c r="DL5857" s="13"/>
    </row>
    <row r="5858" spans="107:116" ht="12.75" customHeight="1">
      <c r="DC5858" s="19"/>
      <c r="DL5858" s="13"/>
    </row>
    <row r="5859" spans="107:116" ht="12.75" customHeight="1">
      <c r="DC5859" s="19"/>
      <c r="DL5859" s="13"/>
    </row>
    <row r="5860" spans="107:116" ht="12.75" customHeight="1">
      <c r="DC5860" s="19"/>
      <c r="DL5860" s="13"/>
    </row>
    <row r="5861" spans="107:116" ht="12.75" customHeight="1">
      <c r="DC5861" s="19"/>
      <c r="DL5861" s="13"/>
    </row>
    <row r="5862" spans="107:116" ht="12.75" customHeight="1">
      <c r="DC5862" s="19"/>
      <c r="DL5862" s="13"/>
    </row>
    <row r="5863" spans="107:116" ht="12.75" customHeight="1">
      <c r="DC5863" s="19"/>
      <c r="DL5863" s="13"/>
    </row>
    <row r="5864" spans="107:116" ht="12.75" customHeight="1">
      <c r="DC5864" s="19"/>
      <c r="DL5864" s="13"/>
    </row>
    <row r="5865" spans="107:116" ht="12.75" customHeight="1">
      <c r="DC5865" s="19"/>
      <c r="DL5865" s="13"/>
    </row>
    <row r="5866" spans="107:116" ht="12.75" customHeight="1">
      <c r="DC5866" s="19"/>
      <c r="DL5866" s="13"/>
    </row>
    <row r="5867" spans="107:116" ht="12.75" customHeight="1">
      <c r="DC5867" s="19"/>
      <c r="DL5867" s="13"/>
    </row>
    <row r="5868" spans="107:116" ht="12.75" customHeight="1">
      <c r="DC5868" s="19"/>
      <c r="DL5868" s="13"/>
    </row>
    <row r="5869" spans="107:116" ht="12.75" customHeight="1">
      <c r="DC5869" s="19"/>
      <c r="DL5869" s="13"/>
    </row>
    <row r="5870" spans="107:116" ht="12.75" customHeight="1">
      <c r="DC5870" s="19"/>
      <c r="DL5870" s="13"/>
    </row>
    <row r="5871" spans="107:116" ht="12.75" customHeight="1">
      <c r="DC5871" s="19"/>
      <c r="DL5871" s="13"/>
    </row>
    <row r="5872" spans="107:116" ht="12.75" customHeight="1">
      <c r="DC5872" s="19"/>
      <c r="DL5872" s="13"/>
    </row>
    <row r="5873" spans="107:116" ht="12.75" customHeight="1">
      <c r="DC5873" s="19"/>
      <c r="DL5873" s="13"/>
    </row>
    <row r="5874" spans="107:116" ht="12.75" customHeight="1">
      <c r="DC5874" s="19"/>
      <c r="DL5874" s="13"/>
    </row>
    <row r="5875" spans="107:116" ht="12.75" customHeight="1">
      <c r="DC5875" s="19"/>
      <c r="DL5875" s="13"/>
    </row>
    <row r="5876" spans="107:116" ht="12.75" customHeight="1">
      <c r="DC5876" s="19"/>
      <c r="DL5876" s="13"/>
    </row>
    <row r="5877" spans="107:116" ht="12.75" customHeight="1">
      <c r="DC5877" s="19"/>
      <c r="DL5877" s="13"/>
    </row>
    <row r="5878" spans="107:116" ht="12.75" customHeight="1">
      <c r="DC5878" s="19"/>
      <c r="DL5878" s="13"/>
    </row>
    <row r="5879" spans="107:116" ht="12.75" customHeight="1">
      <c r="DC5879" s="19"/>
      <c r="DL5879" s="13"/>
    </row>
    <row r="5880" spans="107:116" ht="12.75" customHeight="1">
      <c r="DC5880" s="19"/>
      <c r="DL5880" s="13"/>
    </row>
    <row r="5881" spans="107:116" ht="12.75" customHeight="1">
      <c r="DC5881" s="19"/>
      <c r="DL5881" s="13"/>
    </row>
    <row r="5882" spans="107:116" ht="12.75" customHeight="1">
      <c r="DC5882" s="19"/>
      <c r="DL5882" s="13"/>
    </row>
    <row r="5883" spans="107:116" ht="12.75" customHeight="1">
      <c r="DC5883" s="19"/>
      <c r="DL5883" s="13"/>
    </row>
    <row r="5884" spans="107:116" ht="12.75" customHeight="1">
      <c r="DC5884" s="19"/>
      <c r="DL5884" s="13"/>
    </row>
    <row r="5885" spans="107:116" ht="12.75" customHeight="1">
      <c r="DC5885" s="19"/>
      <c r="DL5885" s="13"/>
    </row>
    <row r="5886" spans="107:116" ht="12.75" customHeight="1">
      <c r="DC5886" s="19"/>
      <c r="DL5886" s="13"/>
    </row>
    <row r="5887" spans="107:116" ht="12.75" customHeight="1">
      <c r="DC5887" s="19"/>
      <c r="DL5887" s="13"/>
    </row>
    <row r="5888" spans="107:116" ht="12.75" customHeight="1">
      <c r="DC5888" s="19"/>
      <c r="DL5888" s="13"/>
    </row>
    <row r="5889" spans="107:116" ht="12.75" customHeight="1">
      <c r="DC5889" s="19"/>
      <c r="DL5889" s="13"/>
    </row>
    <row r="5890" spans="107:116" ht="12.75" customHeight="1">
      <c r="DC5890" s="19"/>
      <c r="DL5890" s="13"/>
    </row>
    <row r="5891" spans="107:116" ht="12.75" customHeight="1">
      <c r="DC5891" s="19"/>
      <c r="DL5891" s="13"/>
    </row>
    <row r="5892" spans="107:116" ht="12.75" customHeight="1">
      <c r="DC5892" s="19"/>
      <c r="DL5892" s="13"/>
    </row>
    <row r="5893" spans="107:116" ht="12.75" customHeight="1">
      <c r="DC5893" s="19"/>
      <c r="DL5893" s="13"/>
    </row>
    <row r="5894" spans="107:116" ht="12.75" customHeight="1">
      <c r="DC5894" s="19"/>
      <c r="DL5894" s="13"/>
    </row>
    <row r="5895" spans="107:116" ht="12.75" customHeight="1">
      <c r="DC5895" s="19"/>
      <c r="DL5895" s="13"/>
    </row>
    <row r="5896" spans="107:116" ht="12.75" customHeight="1">
      <c r="DC5896" s="19"/>
      <c r="DL5896" s="13"/>
    </row>
    <row r="5897" spans="107:116" ht="12.75" customHeight="1">
      <c r="DC5897" s="19"/>
      <c r="DL5897" s="13"/>
    </row>
    <row r="5898" spans="107:116" ht="12.75" customHeight="1">
      <c r="DC5898" s="19"/>
      <c r="DL5898" s="13"/>
    </row>
    <row r="5899" spans="107:116" ht="12.75" customHeight="1">
      <c r="DC5899" s="19"/>
      <c r="DL5899" s="13"/>
    </row>
    <row r="5900" spans="107:116" ht="12.75" customHeight="1">
      <c r="DC5900" s="19"/>
      <c r="DL5900" s="13"/>
    </row>
    <row r="5901" spans="107:116" ht="12.75" customHeight="1">
      <c r="DC5901" s="19"/>
      <c r="DL5901" s="13"/>
    </row>
    <row r="5902" spans="107:116" ht="12.75" customHeight="1">
      <c r="DC5902" s="19"/>
      <c r="DL5902" s="13"/>
    </row>
    <row r="5903" spans="107:116" ht="12.75" customHeight="1">
      <c r="DC5903" s="19"/>
      <c r="DL5903" s="13"/>
    </row>
    <row r="5904" spans="107:116" ht="12.75" customHeight="1">
      <c r="DC5904" s="19"/>
      <c r="DL5904" s="13"/>
    </row>
    <row r="5905" spans="107:116" ht="12.75" customHeight="1">
      <c r="DC5905" s="19"/>
      <c r="DL5905" s="13"/>
    </row>
    <row r="5906" spans="107:116" ht="12.75" customHeight="1">
      <c r="DC5906" s="19"/>
      <c r="DL5906" s="13"/>
    </row>
    <row r="5907" spans="107:116" ht="12.75" customHeight="1">
      <c r="DC5907" s="19"/>
      <c r="DL5907" s="13"/>
    </row>
    <row r="5908" spans="107:116" ht="12.75" customHeight="1">
      <c r="DC5908" s="19"/>
      <c r="DL5908" s="13"/>
    </row>
    <row r="5909" spans="107:116" ht="12.75" customHeight="1">
      <c r="DC5909" s="19"/>
      <c r="DL5909" s="13"/>
    </row>
    <row r="5910" spans="107:116" ht="12.75" customHeight="1">
      <c r="DC5910" s="19"/>
      <c r="DL5910" s="13"/>
    </row>
    <row r="5911" spans="107:116" ht="12.75" customHeight="1">
      <c r="DC5911" s="19"/>
      <c r="DL5911" s="13"/>
    </row>
    <row r="5912" spans="107:116" ht="12.75" customHeight="1">
      <c r="DC5912" s="19"/>
      <c r="DL5912" s="13"/>
    </row>
    <row r="5913" spans="107:116" ht="12.75" customHeight="1">
      <c r="DC5913" s="19"/>
      <c r="DL5913" s="13"/>
    </row>
    <row r="5914" spans="107:116" ht="12.75" customHeight="1">
      <c r="DC5914" s="19"/>
      <c r="DL5914" s="13"/>
    </row>
    <row r="5915" spans="107:116" ht="12.75" customHeight="1">
      <c r="DC5915" s="19"/>
      <c r="DL5915" s="13"/>
    </row>
    <row r="5916" spans="107:116" ht="12.75" customHeight="1">
      <c r="DC5916" s="19"/>
      <c r="DL5916" s="13"/>
    </row>
    <row r="5917" spans="107:116" ht="12.75" customHeight="1">
      <c r="DC5917" s="19"/>
      <c r="DL5917" s="13"/>
    </row>
    <row r="5918" spans="107:116">
      <c r="DC5918" s="19"/>
      <c r="DL5918" s="13"/>
    </row>
    <row r="5919" spans="107:116">
      <c r="DC5919" s="19"/>
      <c r="DL5919" s="13"/>
    </row>
    <row r="5920" spans="107:116">
      <c r="DC5920" s="19"/>
      <c r="DL5920" s="13"/>
    </row>
    <row r="5921" spans="107:116">
      <c r="DC5921" s="19"/>
      <c r="DL5921" s="13"/>
    </row>
    <row r="5922" spans="107:116">
      <c r="DC5922" s="19"/>
      <c r="DL5922" s="13"/>
    </row>
    <row r="5923" spans="107:116">
      <c r="DC5923" s="19"/>
      <c r="DL5923" s="13"/>
    </row>
    <row r="5924" spans="107:116">
      <c r="DC5924" s="19"/>
      <c r="DL5924" s="13"/>
    </row>
    <row r="5925" spans="107:116">
      <c r="DC5925" s="19"/>
      <c r="DL5925" s="13"/>
    </row>
    <row r="5926" spans="107:116">
      <c r="DC5926" s="19"/>
      <c r="DL5926" s="13"/>
    </row>
    <row r="5927" spans="107:116">
      <c r="DC5927" s="19"/>
      <c r="DL5927" s="13"/>
    </row>
    <row r="5928" spans="107:116">
      <c r="DC5928" s="19"/>
      <c r="DL5928" s="13"/>
    </row>
    <row r="5929" spans="107:116">
      <c r="DC5929" s="19"/>
      <c r="DL5929" s="13"/>
    </row>
    <row r="5930" spans="107:116">
      <c r="DC5930" s="19"/>
      <c r="DL5930" s="13"/>
    </row>
    <row r="5931" spans="107:116">
      <c r="DC5931" s="19"/>
      <c r="DL5931" s="13"/>
    </row>
    <row r="5932" spans="107:116">
      <c r="DC5932" s="19"/>
      <c r="DL5932" s="13"/>
    </row>
    <row r="5933" spans="107:116">
      <c r="DC5933" s="19"/>
      <c r="DL5933" s="13"/>
    </row>
    <row r="5934" spans="107:116">
      <c r="DC5934" s="19"/>
      <c r="DL5934" s="13"/>
    </row>
    <row r="5935" spans="107:116">
      <c r="DC5935" s="19"/>
      <c r="DL5935" s="13"/>
    </row>
    <row r="5936" spans="107:116">
      <c r="DC5936" s="19"/>
      <c r="DL5936" s="13"/>
    </row>
    <row r="5937" spans="107:116">
      <c r="DC5937" s="19"/>
      <c r="DL5937" s="13"/>
    </row>
    <row r="5938" spans="107:116">
      <c r="DC5938" s="19"/>
      <c r="DL5938" s="13"/>
    </row>
    <row r="5939" spans="107:116">
      <c r="DC5939" s="19"/>
      <c r="DL5939" s="13"/>
    </row>
    <row r="5940" spans="107:116">
      <c r="DC5940" s="19"/>
      <c r="DL5940" s="13"/>
    </row>
    <row r="5941" spans="107:116">
      <c r="DC5941" s="19"/>
      <c r="DL5941" s="13"/>
    </row>
    <row r="5942" spans="107:116">
      <c r="DC5942" s="19"/>
      <c r="DL5942" s="13"/>
    </row>
    <row r="5943" spans="107:116">
      <c r="DC5943" s="19"/>
      <c r="DL5943" s="13"/>
    </row>
    <row r="5944" spans="107:116">
      <c r="DC5944" s="19"/>
      <c r="DL5944" s="13"/>
    </row>
    <row r="5945" spans="107:116">
      <c r="DC5945" s="19"/>
      <c r="DL5945" s="13"/>
    </row>
    <row r="5946" spans="107:116">
      <c r="DC5946" s="19"/>
      <c r="DL5946" s="13"/>
    </row>
    <row r="5947" spans="107:116">
      <c r="DC5947" s="19"/>
      <c r="DL5947" s="13"/>
    </row>
    <row r="5948" spans="107:116">
      <c r="DC5948" s="19"/>
      <c r="DL5948" s="13"/>
    </row>
    <row r="5949" spans="107:116">
      <c r="DC5949" s="19"/>
      <c r="DL5949" s="13"/>
    </row>
    <row r="5950" spans="107:116">
      <c r="DC5950" s="19"/>
      <c r="DL5950" s="13"/>
    </row>
    <row r="5951" spans="107:116">
      <c r="DC5951" s="19"/>
      <c r="DL5951" s="13"/>
    </row>
    <row r="5952" spans="107:116">
      <c r="DC5952" s="19"/>
      <c r="DL5952" s="13"/>
    </row>
    <row r="5953" spans="107:116">
      <c r="DC5953" s="19"/>
      <c r="DL5953" s="13"/>
    </row>
    <row r="5954" spans="107:116">
      <c r="DC5954" s="19"/>
      <c r="DL5954" s="13"/>
    </row>
    <row r="5955" spans="107:116">
      <c r="DC5955" s="19"/>
      <c r="DL5955" s="13"/>
    </row>
    <row r="5956" spans="107:116">
      <c r="DC5956" s="19"/>
      <c r="DL5956" s="13"/>
    </row>
    <row r="5957" spans="107:116" ht="12.75" customHeight="1">
      <c r="DC5957" s="19"/>
      <c r="DL5957" s="13"/>
    </row>
    <row r="5958" spans="107:116" ht="12.75" customHeight="1">
      <c r="DC5958" s="19"/>
      <c r="DL5958" s="13"/>
    </row>
    <row r="5959" spans="107:116">
      <c r="DC5959" s="19"/>
      <c r="DL5959" s="13"/>
    </row>
    <row r="5960" spans="107:116" ht="12.75" customHeight="1">
      <c r="DC5960" s="19"/>
      <c r="DL5960" s="13"/>
    </row>
    <row r="5961" spans="107:116" ht="12.75" customHeight="1">
      <c r="DC5961" s="19"/>
      <c r="DL5961" s="13"/>
    </row>
    <row r="5962" spans="107:116" ht="12.75" customHeight="1">
      <c r="DC5962" s="19"/>
      <c r="DL5962" s="13"/>
    </row>
    <row r="5963" spans="107:116" ht="12.75" customHeight="1">
      <c r="DC5963" s="19"/>
      <c r="DL5963" s="13"/>
    </row>
    <row r="5964" spans="107:116" ht="12.75" customHeight="1">
      <c r="DC5964" s="19"/>
      <c r="DL5964" s="13"/>
    </row>
    <row r="5965" spans="107:116" ht="12.75" customHeight="1">
      <c r="DC5965" s="19"/>
      <c r="DL5965" s="13"/>
    </row>
    <row r="5966" spans="107:116" ht="12.75" customHeight="1">
      <c r="DC5966" s="19"/>
      <c r="DL5966" s="13"/>
    </row>
    <row r="5967" spans="107:116" ht="12.75" customHeight="1">
      <c r="DC5967" s="19"/>
      <c r="DL5967" s="13"/>
    </row>
    <row r="5968" spans="107:116" ht="12.75" customHeight="1">
      <c r="DC5968" s="19"/>
      <c r="DL5968" s="13"/>
    </row>
    <row r="5969" spans="101:116" ht="12.75" customHeight="1">
      <c r="DC5969" s="19"/>
      <c r="DL5969" s="13"/>
    </row>
    <row r="5970" spans="101:116" ht="12.75" customHeight="1">
      <c r="DC5970" s="19"/>
      <c r="DL5970" s="13"/>
    </row>
    <row r="5971" spans="101:116" ht="12.75" customHeight="1">
      <c r="DC5971" s="19"/>
      <c r="DL5971" s="13"/>
    </row>
    <row r="5972" spans="101:116" ht="12.75" customHeight="1">
      <c r="DC5972" s="19"/>
      <c r="DL5972" s="13"/>
    </row>
    <row r="5973" spans="101:116">
      <c r="DC5973" s="19"/>
      <c r="DL5973" s="13"/>
    </row>
    <row r="5974" spans="101:116">
      <c r="DC5974" s="19"/>
      <c r="DL5974" s="13"/>
    </row>
    <row r="5975" spans="101:116">
      <c r="DC5975" s="19"/>
      <c r="DL5975" s="13"/>
    </row>
    <row r="5976" spans="101:116">
      <c r="DC5976" s="19"/>
      <c r="DL5976" s="13"/>
    </row>
    <row r="5977" spans="101:116">
      <c r="DC5977" s="19"/>
      <c r="DL5977" s="13"/>
    </row>
    <row r="5978" spans="101:116">
      <c r="DC5978" s="19"/>
      <c r="DL5978" s="13"/>
    </row>
    <row r="5979" spans="101:116">
      <c r="DC5979" s="19"/>
      <c r="DL5979" s="13"/>
    </row>
    <row r="5980" spans="101:116">
      <c r="DC5980" s="19"/>
      <c r="DL5980" s="13"/>
    </row>
    <row r="5981" spans="101:116">
      <c r="DC5981" s="19"/>
      <c r="DL5981" s="13"/>
    </row>
    <row r="5982" spans="101:116" ht="12.75" customHeight="1">
      <c r="DC5982" s="19"/>
      <c r="DL5982" s="13"/>
    </row>
    <row r="5983" spans="101:116" ht="12.75" customHeight="1">
      <c r="DC5983" s="19"/>
      <c r="DL5983" s="13"/>
    </row>
    <row r="5984" spans="101:116">
      <c r="CW5984" s="30"/>
      <c r="CX5984" s="30"/>
      <c r="CY5984" s="30"/>
      <c r="CZ5984" s="35"/>
      <c r="DA5984" s="35"/>
      <c r="DB5984" s="35"/>
      <c r="DC5984" s="30"/>
      <c r="DD5984" s="36"/>
      <c r="DE5984" s="11"/>
    </row>
    <row r="5985" spans="101:109" ht="12.75" customHeight="1">
      <c r="CW5985" s="30"/>
      <c r="CX5985" s="30"/>
      <c r="CY5985" s="30"/>
      <c r="CZ5985" s="35"/>
      <c r="DA5985" s="35"/>
      <c r="DB5985" s="35"/>
      <c r="DC5985" s="30"/>
      <c r="DD5985" s="36"/>
      <c r="DE5985" s="11"/>
    </row>
    <row r="5986" spans="101:109">
      <c r="CW5986" s="30"/>
      <c r="CX5986" s="37"/>
      <c r="CZ5986" s="37"/>
      <c r="DA5986" s="37"/>
      <c r="DB5986" s="37"/>
      <c r="DC5986" s="37"/>
      <c r="DE5986" s="37"/>
    </row>
    <row r="5987" spans="101:109">
      <c r="CW5987" s="37"/>
      <c r="CX5987" s="37"/>
      <c r="CZ5987" s="37"/>
      <c r="DA5987" s="37"/>
      <c r="DB5987" s="37"/>
      <c r="DC5987" s="37"/>
      <c r="DE5987" s="37"/>
    </row>
    <row r="5988" spans="101:109">
      <c r="CW5988" s="37"/>
      <c r="CX5988" s="37"/>
      <c r="CZ5988" s="37"/>
      <c r="DA5988" s="37"/>
      <c r="DB5988" s="37"/>
      <c r="DC5988" s="37"/>
      <c r="DE5988" s="37"/>
    </row>
    <row r="5989" spans="101:109">
      <c r="CW5989" s="37"/>
      <c r="CX5989" s="37"/>
      <c r="CZ5989" s="37"/>
      <c r="DA5989" s="37"/>
      <c r="DB5989" s="37"/>
      <c r="DC5989" s="37"/>
      <c r="DE5989" s="37"/>
    </row>
    <row r="5990" spans="101:109">
      <c r="CW5990" s="37"/>
      <c r="CX5990" s="37"/>
      <c r="CZ5990" s="37"/>
      <c r="DA5990" s="37"/>
      <c r="DB5990" s="37"/>
      <c r="DC5990" s="37"/>
      <c r="DE5990" s="37"/>
    </row>
    <row r="5991" spans="101:109">
      <c r="CW5991" s="37"/>
      <c r="CX5991" s="37"/>
      <c r="CZ5991" s="37"/>
      <c r="DA5991" s="37"/>
      <c r="DB5991" s="37"/>
      <c r="DC5991" s="37"/>
      <c r="DE5991" s="37"/>
    </row>
    <row r="5992" spans="101:109">
      <c r="CW5992" s="37"/>
      <c r="CX5992" s="37"/>
      <c r="CZ5992" s="37"/>
      <c r="DA5992" s="37"/>
      <c r="DB5992" s="37"/>
      <c r="DC5992" s="37"/>
      <c r="DE5992" s="37"/>
    </row>
    <row r="5993" spans="101:109" outlineLevel="1">
      <c r="CW5993" s="37"/>
      <c r="CX5993" s="37"/>
      <c r="CZ5993" s="37"/>
      <c r="DA5993" s="37"/>
      <c r="DB5993" s="37"/>
      <c r="DC5993" s="37"/>
      <c r="DE5993" s="37"/>
    </row>
    <row r="5994" spans="101:109" outlineLevel="1">
      <c r="CW5994" s="37"/>
      <c r="CX5994" s="37"/>
      <c r="CZ5994" s="37"/>
      <c r="DA5994" s="37"/>
      <c r="DB5994" s="37"/>
      <c r="DC5994" s="37"/>
      <c r="DE5994" s="37"/>
    </row>
    <row r="5995" spans="101:109" outlineLevel="1">
      <c r="CW5995" s="37"/>
      <c r="CX5995" s="37"/>
      <c r="CZ5995" s="37"/>
      <c r="DA5995" s="37"/>
      <c r="DB5995" s="37"/>
      <c r="DC5995" s="37"/>
      <c r="DE5995" s="37"/>
    </row>
    <row r="5996" spans="101:109" outlineLevel="1">
      <c r="CW5996" s="37"/>
      <c r="CX5996" s="37"/>
      <c r="CZ5996" s="1"/>
      <c r="DA5996" s="1"/>
      <c r="DB5996" s="1"/>
      <c r="DC5996" s="1"/>
      <c r="DE5996" s="37"/>
    </row>
    <row r="5997" spans="101:109">
      <c r="CW5997" s="37"/>
      <c r="CX5997" s="37"/>
      <c r="CZ5997" s="1"/>
      <c r="DA5997" s="1"/>
      <c r="DB5997" s="1"/>
      <c r="DC5997" s="1"/>
      <c r="DE5997" s="37"/>
    </row>
    <row r="5998" spans="101:109">
      <c r="CW5998" s="37"/>
      <c r="CX5998" s="37"/>
      <c r="CZ5998" s="1"/>
      <c r="DA5998" s="1"/>
      <c r="DB5998" s="1"/>
      <c r="DC5998" s="1"/>
      <c r="DE5998" s="37"/>
    </row>
    <row r="5999" spans="101:109">
      <c r="CW5999" s="37"/>
      <c r="CX5999" s="37"/>
      <c r="CZ5999" s="1"/>
      <c r="DA5999" s="1"/>
      <c r="DB5999" s="1"/>
      <c r="DC5999" s="1"/>
      <c r="DE5999" s="37"/>
    </row>
    <row r="6000" spans="101:109">
      <c r="CW6000" s="37"/>
      <c r="CX6000" s="37"/>
      <c r="CZ6000" s="37"/>
      <c r="DA6000" s="37"/>
      <c r="DB6000" s="37"/>
      <c r="DC6000" s="37"/>
      <c r="DE6000" s="37"/>
    </row>
    <row r="6001" spans="101:109">
      <c r="CW6001" s="37"/>
      <c r="CX6001" s="37"/>
      <c r="CZ6001" s="37"/>
      <c r="DA6001" s="37"/>
      <c r="DB6001" s="37"/>
      <c r="DC6001" s="37"/>
      <c r="DE6001" s="37"/>
    </row>
    <row r="6004" spans="101:109">
      <c r="CW6004" s="1"/>
      <c r="CX6004" s="1"/>
      <c r="CZ6004" s="1"/>
      <c r="DA6004" s="1"/>
      <c r="DB6004" s="1"/>
      <c r="DC6004" s="1"/>
      <c r="DE6004" s="1"/>
    </row>
    <row r="6005" spans="101:109">
      <c r="CW6005" s="1"/>
      <c r="CX6005" s="1"/>
      <c r="CZ6005" s="1"/>
      <c r="DA6005" s="1"/>
      <c r="DB6005" s="1"/>
      <c r="DC6005" s="1"/>
      <c r="DE6005" s="1"/>
    </row>
    <row r="6006" spans="101:109">
      <c r="CW6006" s="1"/>
      <c r="CX6006" s="1"/>
      <c r="CZ6006" s="1"/>
      <c r="DA6006" s="1"/>
      <c r="DB6006" s="1"/>
      <c r="DC6006" s="1"/>
      <c r="DE6006" s="1"/>
    </row>
    <row r="6007" spans="101:109">
      <c r="CW6007" s="1"/>
      <c r="CX6007" s="1"/>
      <c r="CZ6007" s="1"/>
      <c r="DA6007" s="1"/>
      <c r="DB6007" s="1"/>
      <c r="DC6007" s="1"/>
      <c r="DE6007" s="1"/>
    </row>
    <row r="6008" spans="101:109">
      <c r="CW6008" s="1"/>
      <c r="CX6008" s="1"/>
      <c r="CZ6008" s="1"/>
      <c r="DA6008" s="1"/>
      <c r="DB6008" s="1"/>
      <c r="DC6008" s="1"/>
      <c r="DE6008" s="1"/>
    </row>
    <row r="6009" spans="101:109">
      <c r="CW6009" s="1"/>
      <c r="CX6009" s="1"/>
      <c r="CZ6009" s="1"/>
      <c r="DA6009" s="1"/>
      <c r="DB6009" s="1"/>
      <c r="DC6009" s="1"/>
      <c r="DE6009" s="1"/>
    </row>
    <row r="6010" spans="101:109">
      <c r="CW6010" s="1"/>
      <c r="CX6010" s="1"/>
      <c r="CY6010" s="1"/>
      <c r="CZ6010" s="1"/>
      <c r="DA6010" s="1"/>
      <c r="DB6010" s="1"/>
      <c r="DC6010" s="1"/>
      <c r="DE6010" s="1"/>
    </row>
    <row r="6011" spans="101:109">
      <c r="CW6011" s="1"/>
      <c r="CX6011" s="1"/>
      <c r="CY6011" s="1"/>
      <c r="CZ6011" s="1"/>
      <c r="DA6011" s="1"/>
      <c r="DB6011" s="1"/>
      <c r="DC6011" s="1"/>
      <c r="DE6011" s="1"/>
    </row>
    <row r="6012" spans="101:109">
      <c r="CW6012" s="1"/>
      <c r="CX6012" s="1"/>
      <c r="CY6012" s="1"/>
      <c r="CZ6012" s="1"/>
      <c r="DA6012" s="1"/>
      <c r="DB6012" s="1"/>
      <c r="DC6012" s="1"/>
      <c r="DE6012" s="1"/>
    </row>
    <row r="6013" spans="101:109">
      <c r="CW6013" s="1"/>
      <c r="CX6013" s="1"/>
      <c r="CY6013" s="1"/>
    </row>
    <row r="6014" spans="101:109">
      <c r="CW6014" s="1"/>
      <c r="CX6014" s="1"/>
      <c r="CY6014" s="1"/>
    </row>
    <row r="6015" spans="101:109">
      <c r="CW6015" s="1"/>
      <c r="CX6015" s="1"/>
      <c r="CY6015" s="1"/>
    </row>
    <row r="6016" spans="101:109">
      <c r="CW6016" s="1"/>
      <c r="CX6016" s="1"/>
      <c r="CY6016" s="1"/>
    </row>
    <row r="6126" ht="12.75" customHeight="1"/>
    <row r="6127" ht="12.75" customHeight="1"/>
    <row r="6128" ht="12.75" customHeight="1"/>
    <row r="6129" ht="12.75" customHeight="1"/>
    <row r="6130" ht="12.75" customHeight="1"/>
    <row r="6131" ht="12.75" customHeight="1"/>
    <row r="6132" ht="12.75" customHeight="1"/>
    <row r="6133" ht="12.75" customHeight="1"/>
    <row r="6134" ht="12.75" customHeight="1"/>
    <row r="6135" ht="12.75" customHeight="1"/>
    <row r="6136" ht="12.75" customHeight="1"/>
    <row r="6137" ht="12.75" customHeight="1"/>
    <row r="6138" ht="12.75" customHeight="1"/>
    <row r="6192" spans="116:116">
      <c r="DL6192" s="13"/>
    </row>
    <row r="6265" ht="12.75" customHeight="1"/>
    <row r="6266" ht="12.75" customHeight="1"/>
    <row r="6377" ht="12.75" customHeight="1"/>
    <row r="6378" ht="12.75" customHeight="1"/>
    <row r="6379" ht="12.75" customHeight="1"/>
    <row r="6380" ht="12.75" customHeight="1"/>
    <row r="6381" ht="12.75" customHeight="1"/>
    <row r="6382" ht="12.75" customHeight="1"/>
    <row r="6383" ht="12.75" customHeight="1"/>
    <row r="6384" ht="12.75" customHeight="1"/>
    <row r="6394" ht="12.75" customHeight="1"/>
    <row r="6395" ht="12.75" customHeight="1"/>
    <row r="6408" ht="12.75" customHeight="1"/>
    <row r="6409" ht="12.75" customHeight="1"/>
    <row r="6674" spans="107:116" ht="12.75" customHeight="1">
      <c r="DC6674" s="19"/>
      <c r="DL6674" s="13"/>
    </row>
    <row r="6675" spans="107:116" ht="12.75" customHeight="1">
      <c r="DC6675" s="19"/>
      <c r="DL6675" s="13"/>
    </row>
  </sheetData>
  <sheetProtection insertColumns="0" insertHyperlinks="0" deleteRows="0" selectLockedCells="1" sort="0" autoFilter="0"/>
  <phoneticPr fontId="8" type="noConversion"/>
  <conditionalFormatting sqref="H8:H64">
    <cfRule type="expression" dxfId="62" priority="195">
      <formula>AND($F8="H",$K8&lt;&gt;0)</formula>
    </cfRule>
  </conditionalFormatting>
  <conditionalFormatting sqref="K8:K64">
    <cfRule type="expression" dxfId="61" priority="196">
      <formula>AND($F8="H",$H8&lt;&gt;0)</formula>
    </cfRule>
  </conditionalFormatting>
  <conditionalFormatting sqref="CD8:CD64 CP8:CP64">
    <cfRule type="cellIs" dxfId="60" priority="151" stopIfTrue="1" operator="greaterThanOrEqual">
      <formula>50</formula>
    </cfRule>
    <cfRule type="cellIs" dxfId="59" priority="182" operator="lessThan">
      <formula>50</formula>
    </cfRule>
  </conditionalFormatting>
  <conditionalFormatting sqref="CD8:CD64 CP8:CP64">
    <cfRule type="cellIs" dxfId="58" priority="45" stopIfTrue="1" operator="greaterThanOrEqual">
      <formula>50</formula>
    </cfRule>
    <cfRule type="cellIs" dxfId="57" priority="47" operator="between">
      <formula>1</formula>
      <formula>49</formula>
    </cfRule>
  </conditionalFormatting>
  <dataValidations xWindow="1615" yWindow="401" count="61">
    <dataValidation allowBlank="1" showInputMessage="1" showErrorMessage="1" promptTitle="Shares / PositionType" prompt="If the entry represents " sqref="C7" xr:uid="{00000000-0002-0000-0000-000002000000}"/>
    <dataValidation allowBlank="1" showInputMessage="1" showErrorMessage="1" promptTitle="Notes" sqref="O7" xr:uid="{2E50D3A3-E1B5-4EA9-A092-27967CE8C550}"/>
    <dataValidation allowBlank="1" showInputMessage="1" showErrorMessage="1" promptTitle="Pricing Updates Include" prompt="If 'Y' then include this trade in a Pricing Update" sqref="Z7" xr:uid="{BFFE46B4-3AAB-4973-844B-0398BEC2A445}"/>
    <dataValidation allowBlank="1" showInputMessage="1" showErrorMessage="1" promptTitle="Option Symbol" prompt="If the entry is an option, this is where it's symbol is stored." sqref="Y7" xr:uid="{0056905A-EEF1-4EE5-B169-4D7E39F61C0F}"/>
    <dataValidation allowBlank="1" showInputMessage="1" showErrorMessage="1" promptTitle="Plug Type" prompt="A PLUG in the Position column denotes an unstructured hypothetical line. This column adds structure to project scenarions. _x000a_- PUT (Put Assign)_x000a_- CLL (Call Assign)_x000a_- EXZ (Exercise)_x000a_- RLL (Roll)_x000a_- MC (Margin Cost)_x000a_- MTM (Mark-to-Market)_x000a_- SL (Stop Loss)_x000a_" sqref="N7" xr:uid="{F218C759-FD3D-4307-BB6F-2ED680BFE09B}"/>
    <dataValidation allowBlank="1" showInputMessage="1" showErrorMessage="1" promptTitle="Is Short" prompt="True when the Position flag is {SHRT, SC, or SP}" sqref="AE7" xr:uid="{4E940836-08AC-4E12-A0E4-AD2F1DA14B77}"/>
    <dataValidation allowBlank="1" showInputMessage="1" showErrorMessage="1" promptTitle="Is Long" prompt="True when the Position flag is LNG, LC, or LP}" sqref="AD7" xr:uid="{CA98FA60-F7D4-4EF8-A923-B372C7CC7344}"/>
    <dataValidation allowBlank="1" showInputMessage="1" showErrorMessage="1" promptTitle="Tactical Basis" prompt="The capital still committed._x000a__x000a_(total cost of all long positions that are still open)" sqref="H83 K83 N83" xr:uid="{C4815AB2-2D9D-47C2-B098-78DDB1C32C30}"/>
    <dataValidation allowBlank="1" showInputMessage="1" showErrorMessage="1" promptTitle="Share Equivalents" prompt="Total quantity of shares in out open, long position cost. Option contracts are shown as the quivalent in equity shares (100 per contract)." sqref="H85" xr:uid="{8F1AFFCC-E37D-4544-935F-004095F9B0AF}"/>
    <dataValidation allowBlank="1" showInputMessage="1" showErrorMessage="1" promptTitle="Visible" prompt="helper to make downstream formulas easier. Evaluates to 1 if a row is visible using the current filters, 0 otherwise" sqref="AC7" xr:uid="{E68C4DBD-EC82-4B86-AE4E-AEE997B26918}"/>
    <dataValidation allowBlank="1" showInputMessage="1" showErrorMessage="1" promptTitle="Share Equivalents" prompt="The shares that make up our Tactical Basis (open, long position)_x000a__x000a_Option contracts are shown as the quivalent in equity shares (100 per contract)." sqref="H84" xr:uid="{00F0A0BC-8D93-48C3-92EC-FC2F05C8542F}"/>
    <dataValidation allowBlank="1" showInputMessage="1" showErrorMessage="1" promptTitle="Realized Cash" prompt="The sum of Gross P&amp;L for closed line items, including dividends._x000a__x000a_This is cash already in hand." sqref="H86" xr:uid="{9E64F75F-9F94-49C8-9E35-979C9D77F044}"/>
    <dataValidation allowBlank="1" showInputMessage="1" showErrorMessage="1" promptTitle="Unrealized Cash" prompt="The sum of Gross P&amp;L for open short positions_x000a__x000a_This is cash is in hand, but the line item has neither expired nor been covered or assigned." sqref="H88" xr:uid="{CBE358A0-3A05-4615-A6E0-33218B90EFAE}"/>
    <dataValidation allowBlank="1" showInputMessage="1" showErrorMessage="1" promptTitle="Tacticall Cash Available" prompt="All cash that has already been harvested and potentially deployable further to this trade" sqref="H89" xr:uid="{B8A3D886-8562-4895-A619-ADA4261A465A}"/>
    <dataValidation allowBlank="1" showInputMessage="1" showErrorMessage="1" promptTitle="ACB" prompt="The net cost per share taking into account ANY cash harvested._x000a__x000a_On a tactical basis, new short position strikes considerations will include an awareness of this." sqref="I92" xr:uid="{F0F34826-84B8-484D-B5A9-9A510F84EB80}"/>
    <dataValidation allowBlank="1" showInputMessage="1" showErrorMessage="1" promptTitle="Tactical View" prompt="This is for active management of open risk._x000a__x000a_The focus here is on capital committed &amp; cash harvested. The net position supports deciding what tactics to use next." sqref="I78" xr:uid="{8AF0BD7B-5044-433C-9E4E-4F51E792F81C}"/>
    <dataValidation allowBlank="1" showInputMessage="1" showErrorMessage="1" promptTitle="Tax View" prompt="What the IRS will use to compute tax due - realized gains and losses" sqref="O78" xr:uid="{AD71FA22-10F9-4E9B-84EC-D9A1DA9506B5}"/>
    <dataValidation allowBlank="1" showInputMessage="1" showErrorMessage="1" promptTitle="In Tax View" prompt="True if this line item must be reported to IRS._x000a__x000a_In practice it means the line item Is Closed (aka realized)" sqref="BB7" xr:uid="{2D5DEFF3-CA17-44E6-B81F-622DB250C7E2}"/>
    <dataValidation allowBlank="1" showInputMessage="1" showErrorMessage="1" promptTitle="In Tactical View" prompt="True the line item is long and open" sqref="AZ7" xr:uid="{D2C8E5BA-F209-4D86-B110-176EAED2C445}"/>
    <dataValidation allowBlank="1" showInputMessage="1" showErrorMessage="1" promptTitle="In Performance  View" prompt="True if the line item s/b counted. _x000a__x000a_For now this includes all line items unless Status=&quot;PLUG&quot;._x000a__x000a_Hypothetical line items are included since the proceeds manually entered is either a MTM price or a capped price." sqref="BA7" xr:uid="{5675B194-FD84-4C33-AB66-E77506BBBA52}"/>
    <dataValidation allowBlank="1" showInputMessage="1" showErrorMessage="1" promptTitle="Potential Cash" prompt="The sum of Gross P&amp;L line items with Status = PLUG" sqref="H87" xr:uid="{B0348A23-8A14-4A86-99E5-D642A62F3818}"/>
    <dataValidation allowBlank="1" showInputMessage="1" showErrorMessage="1" promptTitle="Is Open" prompt="True when the Position is not closed._x000a__x000a_Thi makes other formulas more readable" sqref="AI7" xr:uid="{6538F304-3F5C-4C4E-B486-1604E9EF8270}"/>
    <dataValidation allowBlank="1" showInputMessage="1" showErrorMessage="1" promptTitle="Date Opened" prompt="picks the correct date depending on whether the position is Long or Short" sqref="AU7" xr:uid="{8770087B-B432-4232-B7DA-77C5EEF0CDF0}"/>
    <dataValidation allowBlank="1" showInputMessage="1" showErrorMessage="1" promptTitle="Date Closed" prompt="picks the correct date depending on whether the position is Long or Short._x000a__x000a_Dividends have their Ex-Div date in the Sell Date" sqref="AY7" xr:uid="{FDE459A8-24D1-4958-B229-1B4FA4194710}"/>
    <dataValidation allowBlank="1" showInputMessage="1" showErrorMessage="1" promptTitle="Is DIV" prompt="True if the line item has  been marked as a dividend" sqref="AF7" xr:uid="{897FD6D8-C222-439E-9ECC-8B2AC99BD5FB}"/>
    <dataValidation allowBlank="1" showInputMessage="1" showErrorMessage="1" promptTitle="Position" prompt="The type of position represented by the line entry (ie, SP = Short Put, LC = Long Call)._x000a__x000a_We also use this to flag dividends (DIV) and hypothetical (PLUG) lime item entries (ie, exercise &amp; assdignment of a long call)" sqref="B7" xr:uid="{0A608D76-1F64-4B34-8C1B-4F7C9C34711D}"/>
    <dataValidation allowBlank="1" showInputMessage="1" showErrorMessage="1" promptTitle="ACB" prompt="The net cost per share of the position after accounting for all cash harvested. _x000a__x000a_May be negative if cumulative premium exceeds original cost, representing embedded profit." sqref="H91" xr:uid="{839F3220-A937-4189-8688-E039F386BC57}"/>
    <dataValidation allowBlank="1" showInputMessage="1" showErrorMessage="1" promptTitle="Is Naked Call" prompt="Flag to designate a short call position line item that is NOT covered._x000a__x000a_The dafault case is that the position IS covered (for a short call, there is either an LC or LNG position). NOTE: the system does not discover or match other line items on its own)" sqref="Q7" xr:uid="{151F9424-DE45-4D8A-AEAA-FCDF06D06CCA}"/>
    <dataValidation allowBlank="1" showInputMessage="1" showErrorMessage="1" promptTitle="Long Share Equivalent" prompt="Shares of Long stock or Long calls (multiplie option positions by 100)" sqref="AO7" xr:uid="{CD16F82F-B1C5-4B74-9309-A4EEFC7ECB8B}"/>
    <dataValidation allowBlank="1" showInputMessage="1" showErrorMessage="1" promptTitle="Short Share Equivalent" prompt="Shares of Short stock or Naked calls (multiplie option positions by 100)._x000a__x000a_Non-naked short calls &amp; puts are treated as zero. IF &amp; when they are assigned a new line item will account for the shares obligated." sqref="AP7 AR7:AS7" xr:uid="{57AD21F2-BDEE-4F85-AE0F-84E893034BAD}"/>
    <dataValidation allowBlank="1" showInputMessage="1" showErrorMessage="1" promptTitle="Share Equivalent" prompt="Sum of Long &amp; Short Share Equivalents._x000a__x000a_The filtered sum of this column represents our total Tactical Share position" sqref="AT7" xr:uid="{362BF3B4-9809-4A0D-8953-1A37770C5466}"/>
    <dataValidation allowBlank="1" showInputMessage="1" showErrorMessage="1" promptTitle="Non Option Date Closed" prompt="The date that an equity position was closed" sqref="AV7" xr:uid="{7639DD2E-F9E3-4EEC-A7EE-F8BAAE108D2B}"/>
    <dataValidation allowBlank="1" showInputMessage="1" showErrorMessage="1" promptTitle="Open Option Date Closed" prompt="The closing date for an open position is the lessor of TODAY or the Expiration Date if the optiopn is Short. _x000a__x000a_If the option is Long then we use the Expiration Date" sqref="AW7" xr:uid="{A73DE098-A539-4736-8F9D-FE7DBFD9F7D9}"/>
    <dataValidation allowBlank="1" showInputMessage="1" showErrorMessage="1" promptTitle="Closed Option Date Closed" prompt="The closing date for a closed open position" sqref="AX7" xr:uid="{3BD7CF9C-A5AF-46E5-A39A-2229D266B669}"/>
    <dataValidation allowBlank="1" showInputMessage="1" showErrorMessage="1" promptTitle="Short Put ACB" prompt="ACB for a line item that is SP" sqref="BK7" xr:uid="{F1D3C0DB-9526-485D-846F-68794162CAD1}"/>
    <dataValidation allowBlank="1" showInputMessage="1" showErrorMessage="1" promptTitle="Naked Call ACB" prompt="ACB for a line item that is SC AND Naked" sqref="BJ7" xr:uid="{6B6A9F09-0AD0-4068-BDE7-3CF2F86C3D68}"/>
    <dataValidation allowBlank="1" showInputMessage="1" showErrorMessage="1" promptTitle="Is ACB Put" prompt="Flag to designate a short put position line item as dispositive for ACB.(use assignment cost vs premium received if True)_x000a__x000a_NOTE: the system does not discover or match other line items on its own)" sqref="P7" xr:uid="{644306A6-A9CC-4916-A286-548AB3457E07}"/>
    <dataValidation allowBlank="1" showInputMessage="1" showErrorMessage="1" promptTitle="ACB Put Share Equivalent" prompt="Hack to make shares net to zero when ACB Put flag is True." sqref="AQ7" xr:uid="{CE888DB7-7651-4616-958E-7795105E9445}"/>
    <dataValidation allowBlank="1" showInputMessage="1" showErrorMessage="1" promptTitle="Is PLUG" prompt="True if the line item has  been marked as a PLUG hypothetical line item." sqref="AG7" xr:uid="{AAC4A90A-01F2-433F-BC4B-84AA07F4A374}"/>
    <dataValidation allowBlank="1" showInputMessage="1" showErrorMessage="1" promptTitle="Net Short Premium ACB" prompt="The amount of premium received net of any offset to it, per contract._x000a__x000a_" sqref="BI7" xr:uid="{4B1CA520-5A18-4B8A-86D4-3E6B4FE41DBB}"/>
    <dataValidation allowBlank="1" showInputMessage="1" showErrorMessage="1" promptTitle="Premium Input" prompt="Intermediate helper to make calculation of Short Premium earned easier." sqref="BE7" xr:uid="{E007DB3F-1661-460B-A76A-0B59F213C001}"/>
    <dataValidation allowBlank="1" showInputMessage="1" showErrorMessage="1" promptTitle="Premium Offset Input" prompt="Intermediate helper to make calculation of offsets to Short Premium earned easier._x000a__x000a_Offsets are the result of paying to close the short contract prior to expiration." sqref="BF7" xr:uid="{A431395F-ACE6-41CD-84A4-44E754E6FA62}"/>
    <dataValidation allowBlank="1" showInputMessage="1" showErrorMessage="1" promptTitle="Premium Offset ACB" prompt="The amount of offsets per contract to Short Premium earned,_x000a__x000a_Offsets are the result of paying to close the short contract prior to expiration." sqref="BH7" xr:uid="{272772CD-FF1C-4640-8D8B-3AF00CE51C06}"/>
    <dataValidation allowBlank="1" showInputMessage="1" showErrorMessage="1" promptTitle="Premium ACB" prompt="The amount per contract of Short Premium received" sqref="BG7" xr:uid="{4CA44064-D015-42F6-88CE-E023D2CCAD53}"/>
    <dataValidation allowBlank="1" showInputMessage="1" showErrorMessage="1" promptTitle="ACB" prompt="POSTION MANAGEMENT ACB_x000a__x000a_The net cost of holding a position, calculated as initial purchase price plus fees, and adjusted for ANY cash flows received or paid as well as events like splits or assignments. " sqref="BQ7" xr:uid="{79401032-468C-4910-B334-0C5CD4D4AE5E}"/>
    <dataValidation allowBlank="1" showInputMessage="1" showErrorMessage="1" promptTitle="Equity ACB" prompt="Per-share impact on ACB from equity trades and related cash flows." sqref="BM7" xr:uid="{43375E23-F585-46B3-ACFD-6A8E68E0176E}"/>
    <dataValidation allowBlank="1" showInputMessage="1" showErrorMessage="1" promptTitle="Long Option ACB" prompt="Per-share impact on ACB frm long option trades." sqref="BL7" xr:uid="{DE4F0BAA-3F70-4FE4-8378-9998848F0CD9}"/>
    <dataValidation allowBlank="1" showInputMessage="1" showErrorMessage="1" promptTitle="ACB P&amp;L" prompt="Helper to filter out  PLUG line items. The total ACB P&amp;L helps us to weight the contribution of individual line items where shares equivalents may vary OR be cumulative" sqref="BD7" xr:uid="{6D211A4D-022E-49ED-A61D-C9FDBC4C324E}"/>
    <dataValidation allowBlank="1" showInputMessage="1" showErrorMessage="1" promptTitle="Is In Weighted ACB" prompt="Guard clause Helper to make Weighted ACB formula readable" sqref="BN7" xr:uid="{F1437442-1DC4-4D6A-A918-CBF3B79F7995}"/>
    <dataValidation allowBlank="1" showInputMessage="1" showErrorMessage="1" promptTitle="Prelim Weighted ACB" prompt="Helper to make Weighted ACB formula readable" sqref="BO7" xr:uid="{5FC49BF9-5FAB-40A1-AFEA-3905789294FC}"/>
    <dataValidation allowBlank="1" showInputMessage="1" showErrorMessage="1" promptTitle="ACB Sign" prompt="Any line item in the current trade that is designated either ACB Put or Naked Call creates an obligation to deliver shares - a negative Share equivalent.  This is correct but leaves the ACB line item with tthe wrong sign. We detect &amp; fix that here_x000a__x000a_" sqref="BP7" xr:uid="{EA2FD442-A0D1-4B20-8BDF-460AC5310D48}"/>
    <dataValidation allowBlank="1" showInputMessage="1" showErrorMessage="1" promptTitle="Weighted ACB" prompt="see ACB_x000a__x000a_Same as ACB but with each line item weighted by it's percent of total share equivalents for the Trade(s) displayed." sqref="BR7" xr:uid="{00121CD1-3E21-4264-B181-9BCE35739E82}"/>
    <dataValidation allowBlank="1" showInputMessage="1" showErrorMessage="1" promptTitle="P&amp;L" prompt="The dollar amount gain or loss on a given line item. Different logical views will filter this column (ie, tax, performance, tactical)" sqref="BS7" xr:uid="{58042D92-C6F2-477A-9E9C-8EF6DADE1CC8}"/>
    <dataValidation allowBlank="1" showInputMessage="1" showErrorMessage="1" promptTitle="Is PLUG Type" prompt="Valid PLUG Types lookup" sqref="AH7" xr:uid="{D1A8A694-8EEE-4526-A707-B18910EC994B}"/>
    <dataValidation allowBlank="1" showInputMessage="1" showErrorMessage="1" promptTitle="ID" prompt="Unique sequential identifier withing the context of a Symbol that marks the lifespan of a given Trade position." sqref="D7" xr:uid="{A0AD20FE-ED60-4921-84E1-F4FFAA17F5E6}"/>
    <dataValidation allowBlank="1" showInputMessage="1" showErrorMessage="1" promptTitle="Underlying Price" prompt="Price of the underlying at the time the contract was entered." sqref="CL7:CP7 BY7:CD7" xr:uid="{00000000-0002-0000-0000-000000000000}"/>
    <dataValidation allowBlank="1" showInputMessage="1" showErrorMessage="1" promptTitle="Symbol" prompt="The symbol of the underlying asset." sqref="A7" xr:uid="{00000000-0002-0000-0000-000001000000}"/>
    <dataValidation allowBlank="1" showInputMessage="1" showErrorMessage="1" promptTitle="Primary Trigger" prompt="The main event that triggered action to want to take this trade" sqref="BW7" xr:uid="{00000000-0002-0000-0000-000005000000}"/>
    <dataValidation allowBlank="1" showInputMessage="1" showErrorMessage="1" promptTitle="MC Basis" prompt="MC Basis. We need this conditional basis when we have a standalone Naked Put in order to calculate a reasonable cvonsistent ROI" sqref="BC7" xr:uid="{FCF140F0-6554-4340-92D6-98ACB01546AD}"/>
    <dataValidation allowBlank="1" showInputMessage="1" showErrorMessage="1" promptTitle="Option Symbol" prompt="If the entry is an option, the symbol of theoption." sqref="Z8:AA64" xr:uid="{00000000-0002-0000-0000-000003000000}"/>
    <dataValidation type="list" allowBlank="1" showInputMessage="1" showErrorMessage="1" sqref="N8:N72" xr:uid="{A32ACA08-E6C1-4960-84C9-2A02CDB8E439}">
      <formula1>"CLL, EXZ, MC, MTM, PUT, ROLL, SL,, TV"</formula1>
    </dataValidation>
  </dataValidations>
  <hyperlinks>
    <hyperlink ref="A1" r:id="rId1" xr:uid="{00000000-0004-0000-0000-000000000000}"/>
    <hyperlink ref="CE46:CE47" r:id="rId2" display="doc" xr:uid="{BD34B8F5-99FC-45AA-B297-119A5196A6A3}"/>
    <hyperlink ref="CQ44:CQ46" r:id="rId3" display="doc" xr:uid="{75524A35-AC0A-4313-9340-20768C27499F}"/>
    <hyperlink ref="AH5" r:id="rId4" xr:uid="{57B27B64-F950-4EC7-86C8-91C81CC01C71}"/>
  </hyperlinks>
  <pageMargins left="0.75" right="0.75" top="1" bottom="1" header="0.5" footer="0.5"/>
  <pageSetup orientation="portrait" r:id="rId5"/>
  <headerFooter alignWithMargins="0"/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T10"/>
  <sheetViews>
    <sheetView topLeftCell="F1" workbookViewId="0">
      <selection activeCell="P9" sqref="P9"/>
    </sheetView>
  </sheetViews>
  <sheetFormatPr defaultRowHeight="12.75"/>
  <cols>
    <col min="1" max="1" width="15.7109375" bestFit="1" customWidth="1"/>
    <col min="2" max="2" width="5.28515625" customWidth="1"/>
    <col min="3" max="4" width="15.7109375" customWidth="1"/>
    <col min="5" max="5" width="3.5703125" customWidth="1"/>
    <col min="6" max="6" width="20.28515625" bestFit="1" customWidth="1"/>
    <col min="7" max="7" width="51.85546875" bestFit="1" customWidth="1"/>
    <col min="8" max="19" width="11.7109375" customWidth="1"/>
    <col min="20" max="20" width="35.140625" bestFit="1" customWidth="1"/>
  </cols>
  <sheetData>
    <row r="1" spans="1:20">
      <c r="F1" s="2" t="s">
        <v>104</v>
      </c>
    </row>
    <row r="2" spans="1:20"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</row>
    <row r="3" spans="1:20" ht="22.5">
      <c r="A3" s="4" t="s">
        <v>105</v>
      </c>
      <c r="B3" s="4"/>
      <c r="F3" s="3" t="s">
        <v>106</v>
      </c>
      <c r="G3" s="3" t="s">
        <v>107</v>
      </c>
      <c r="H3" s="3" t="s">
        <v>108</v>
      </c>
      <c r="I3" s="3" t="s">
        <v>109</v>
      </c>
      <c r="J3" s="3" t="s">
        <v>110</v>
      </c>
      <c r="K3" s="3" t="s">
        <v>111</v>
      </c>
      <c r="L3" s="3" t="s">
        <v>112</v>
      </c>
      <c r="M3" s="3" t="s">
        <v>113</v>
      </c>
      <c r="N3" s="3" t="s">
        <v>114</v>
      </c>
      <c r="O3" s="3" t="s">
        <v>115</v>
      </c>
      <c r="P3" s="3" t="s">
        <v>116</v>
      </c>
      <c r="Q3" s="3" t="s">
        <v>117</v>
      </c>
      <c r="R3" s="3" t="s">
        <v>118</v>
      </c>
      <c r="S3" s="3" t="s">
        <v>119</v>
      </c>
      <c r="T3" s="141" t="s">
        <v>59</v>
      </c>
    </row>
    <row r="4" spans="1:20">
      <c r="A4" s="5"/>
      <c r="B4" s="5"/>
      <c r="C4" s="99"/>
      <c r="F4" s="53" t="s">
        <v>123</v>
      </c>
      <c r="G4" s="54" t="s">
        <v>124</v>
      </c>
      <c r="H4" s="38" t="s">
        <v>37</v>
      </c>
      <c r="I4" s="51"/>
      <c r="J4" s="38" t="s">
        <v>122</v>
      </c>
      <c r="K4" s="38"/>
      <c r="L4" s="51"/>
      <c r="M4" s="38"/>
      <c r="N4" s="38" t="s">
        <v>41</v>
      </c>
      <c r="O4" s="38"/>
      <c r="P4" s="38" t="s">
        <v>125</v>
      </c>
      <c r="Q4" s="38"/>
      <c r="R4" s="51"/>
      <c r="S4" s="38"/>
      <c r="T4" s="38" t="s">
        <v>126</v>
      </c>
    </row>
    <row r="5" spans="1:20" ht="13.5" thickBot="1">
      <c r="A5" s="5"/>
      <c r="B5" s="5"/>
      <c r="C5" s="7" t="str">
        <f>"Y"</f>
        <v>Y</v>
      </c>
      <c r="F5" s="53" t="s">
        <v>135</v>
      </c>
      <c r="G5" s="54" t="s">
        <v>136</v>
      </c>
      <c r="H5" s="38" t="s">
        <v>33</v>
      </c>
      <c r="I5" s="51" t="s">
        <v>63</v>
      </c>
      <c r="J5" s="38" t="s">
        <v>125</v>
      </c>
      <c r="K5" s="38" t="s">
        <v>137</v>
      </c>
      <c r="L5" s="51" t="s">
        <v>75</v>
      </c>
      <c r="M5" s="38" t="s">
        <v>125</v>
      </c>
      <c r="N5" s="38"/>
      <c r="O5" s="38"/>
      <c r="P5" s="38"/>
      <c r="Q5" s="38"/>
      <c r="R5" s="51"/>
      <c r="S5" s="38"/>
      <c r="T5" s="38" t="s">
        <v>138</v>
      </c>
    </row>
    <row r="6" spans="1:20" ht="14.25" customHeight="1" thickTop="1">
      <c r="A6" s="1" t="s">
        <v>131</v>
      </c>
      <c r="C6" s="6" t="s">
        <v>120</v>
      </c>
      <c r="D6" s="6" t="s">
        <v>132</v>
      </c>
      <c r="F6" s="53" t="s">
        <v>256</v>
      </c>
      <c r="G6" s="54" t="s">
        <v>257</v>
      </c>
      <c r="H6" s="38" t="s">
        <v>231</v>
      </c>
      <c r="I6" s="51" t="s">
        <v>230</v>
      </c>
      <c r="J6" s="38" t="s">
        <v>125</v>
      </c>
      <c r="K6" s="38"/>
      <c r="L6" s="51"/>
      <c r="M6" s="38"/>
      <c r="N6" s="38"/>
      <c r="O6" s="38"/>
      <c r="P6" s="38"/>
      <c r="Q6" s="38"/>
      <c r="R6" s="51"/>
      <c r="S6" s="38"/>
      <c r="T6" s="38" t="s">
        <v>127</v>
      </c>
    </row>
    <row r="7" spans="1:20" ht="14.25" customHeight="1">
      <c r="A7" s="1"/>
      <c r="C7" s="99"/>
      <c r="D7" s="99"/>
      <c r="F7" s="53" t="s">
        <v>251</v>
      </c>
      <c r="G7" s="54" t="s">
        <v>254</v>
      </c>
      <c r="H7" s="38" t="s">
        <v>18</v>
      </c>
      <c r="I7" s="51" t="s">
        <v>133</v>
      </c>
      <c r="J7" s="38"/>
      <c r="K7" s="38" t="s">
        <v>121</v>
      </c>
      <c r="L7" s="51"/>
      <c r="M7" s="38"/>
      <c r="N7" s="38" t="s">
        <v>9</v>
      </c>
      <c r="O7" s="38" t="s">
        <v>78</v>
      </c>
      <c r="P7" s="38" t="s">
        <v>125</v>
      </c>
      <c r="Q7" s="38" t="s">
        <v>137</v>
      </c>
      <c r="R7" s="51" t="s">
        <v>67</v>
      </c>
      <c r="S7" s="38" t="s">
        <v>125</v>
      </c>
      <c r="T7" s="38" t="s">
        <v>255</v>
      </c>
    </row>
    <row r="8" spans="1:20" ht="13.5" thickBot="1">
      <c r="C8" s="7" t="str">
        <f>"Y"</f>
        <v>Y</v>
      </c>
      <c r="D8" s="7" t="str">
        <f>"&lt;&gt;"</f>
        <v>&lt;&gt;</v>
      </c>
      <c r="F8" s="53" t="s">
        <v>176</v>
      </c>
      <c r="G8" s="54" t="s">
        <v>253</v>
      </c>
      <c r="H8" s="38" t="s">
        <v>18</v>
      </c>
      <c r="I8" s="51" t="s">
        <v>133</v>
      </c>
      <c r="J8" s="38"/>
      <c r="K8" s="38" t="s">
        <v>121</v>
      </c>
      <c r="L8" s="51"/>
      <c r="M8" s="38"/>
      <c r="N8" s="38" t="s">
        <v>13</v>
      </c>
      <c r="O8" s="38" t="s">
        <v>61</v>
      </c>
      <c r="P8" s="38"/>
      <c r="Q8" s="38"/>
      <c r="R8" s="51"/>
      <c r="S8" s="38"/>
      <c r="T8" s="38" t="s">
        <v>134</v>
      </c>
    </row>
    <row r="9" spans="1:20" ht="13.5" thickTop="1">
      <c r="F9" s="53" t="s">
        <v>128</v>
      </c>
      <c r="G9" s="54" t="s">
        <v>129</v>
      </c>
      <c r="H9" s="38" t="s">
        <v>8</v>
      </c>
      <c r="I9" s="51" t="s">
        <v>94</v>
      </c>
      <c r="J9" s="38" t="s">
        <v>125</v>
      </c>
      <c r="K9" s="38" t="s">
        <v>98</v>
      </c>
      <c r="L9" s="51"/>
      <c r="M9" s="38" t="s">
        <v>98</v>
      </c>
      <c r="N9" s="38" t="s">
        <v>12</v>
      </c>
      <c r="O9" s="38" t="s">
        <v>462</v>
      </c>
      <c r="P9" s="38" t="s">
        <v>125</v>
      </c>
      <c r="Q9" s="38" t="s">
        <v>98</v>
      </c>
      <c r="S9" s="38" t="s">
        <v>98</v>
      </c>
      <c r="T9" s="38" t="s">
        <v>130</v>
      </c>
    </row>
    <row r="10" spans="1:20" ht="13.5" thickBot="1">
      <c r="C10" s="7" t="str">
        <f>"*LNG*"</f>
        <v>*LNG*</v>
      </c>
    </row>
  </sheetData>
  <dataValidations count="3">
    <dataValidation type="list" allowBlank="1" showInputMessage="1" showErrorMessage="1" sqref="K4:K9 Q4:Q9" xr:uid="{00000000-0002-0000-0100-000000000000}">
      <formula1>XlAutoFilterOps</formula1>
    </dataValidation>
    <dataValidation type="list" allowBlank="1" showInputMessage="1" showErrorMessage="1" sqref="S4:S9 M4:M9 P4:P9 J4:J9" xr:uid="{00000000-0002-0000-0100-000001000000}">
      <formula1>EbfCriteriaOps</formula1>
    </dataValidation>
    <dataValidation type="list" allowBlank="1" showInputMessage="1" showErrorMessage="1" sqref="H4:H9 N4:N9" xr:uid="{70E32A69-6475-4088-9218-3B6B8AFFDA71}">
      <formula1>_CagrColumns</formula1>
    </dataValidation>
  </dataValidations>
  <pageMargins left="0.7" right="0.7" top="0.75" bottom="0.75" header="0.3" footer="0.3"/>
  <pageSetup orientation="portrait" horizontalDpi="4294967293" verticalDpi="4294967293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4:O12"/>
  <sheetViews>
    <sheetView workbookViewId="0">
      <selection activeCell="C12" sqref="C12"/>
    </sheetView>
  </sheetViews>
  <sheetFormatPr defaultRowHeight="12.75"/>
  <cols>
    <col min="1" max="1" width="4.5703125" customWidth="1"/>
    <col min="2" max="2" width="28.42578125" bestFit="1" customWidth="1"/>
    <col min="3" max="5" width="15.85546875" bestFit="1" customWidth="1"/>
    <col min="6" max="6" width="22.28515625" bestFit="1" customWidth="1"/>
    <col min="7" max="7" width="20.85546875" bestFit="1" customWidth="1"/>
    <col min="8" max="8" width="20.85546875" customWidth="1"/>
    <col min="9" max="9" width="18.140625" bestFit="1" customWidth="1"/>
    <col min="10" max="10" width="11.140625" bestFit="1" customWidth="1"/>
    <col min="11" max="11" width="15.42578125" bestFit="1" customWidth="1"/>
    <col min="12" max="12" width="12.140625" bestFit="1" customWidth="1"/>
    <col min="13" max="13" width="17.5703125" bestFit="1" customWidth="1"/>
    <col min="14" max="14" width="12.140625" bestFit="1" customWidth="1"/>
    <col min="15" max="15" width="41.42578125" bestFit="1" customWidth="1"/>
  </cols>
  <sheetData>
    <row r="4" spans="2:15">
      <c r="B4" s="12" t="s">
        <v>139</v>
      </c>
      <c r="C4" s="12" t="s">
        <v>140</v>
      </c>
      <c r="D4" s="12" t="s">
        <v>141</v>
      </c>
      <c r="E4" s="12" t="s">
        <v>142</v>
      </c>
      <c r="F4" s="12" t="s">
        <v>143</v>
      </c>
      <c r="G4" s="12" t="s">
        <v>144</v>
      </c>
      <c r="H4" s="12" t="s">
        <v>145</v>
      </c>
      <c r="I4" s="12" t="s">
        <v>146</v>
      </c>
      <c r="J4" s="12" t="s">
        <v>147</v>
      </c>
      <c r="K4" s="12" t="s">
        <v>148</v>
      </c>
      <c r="L4" s="12" t="s">
        <v>149</v>
      </c>
      <c r="M4" s="12" t="s">
        <v>150</v>
      </c>
      <c r="N4" s="12" t="s">
        <v>151</v>
      </c>
      <c r="O4" s="12" t="s">
        <v>59</v>
      </c>
    </row>
    <row r="5" spans="2:15">
      <c r="B5" s="1" t="s">
        <v>162</v>
      </c>
      <c r="C5" s="1" t="s">
        <v>6</v>
      </c>
      <c r="D5" s="1" t="s">
        <v>6</v>
      </c>
      <c r="F5" s="1" t="s">
        <v>123</v>
      </c>
      <c r="I5" s="1" t="s">
        <v>8</v>
      </c>
      <c r="J5" s="1" t="s">
        <v>152</v>
      </c>
      <c r="K5" s="1" t="s">
        <v>11</v>
      </c>
      <c r="L5" s="1" t="s">
        <v>152</v>
      </c>
      <c r="M5" s="1" t="s">
        <v>18</v>
      </c>
      <c r="N5" s="1" t="s">
        <v>152</v>
      </c>
      <c r="O5" s="1" t="s">
        <v>163</v>
      </c>
    </row>
    <row r="6" spans="2:15">
      <c r="B6" s="1" t="s">
        <v>164</v>
      </c>
      <c r="C6" s="1" t="s">
        <v>4</v>
      </c>
      <c r="D6" s="1"/>
      <c r="F6" t="s">
        <v>135</v>
      </c>
      <c r="H6" t="s">
        <v>14</v>
      </c>
      <c r="I6" s="1" t="s">
        <v>8</v>
      </c>
      <c r="J6" s="1" t="s">
        <v>152</v>
      </c>
      <c r="K6" s="1" t="s">
        <v>11</v>
      </c>
      <c r="L6" s="1" t="s">
        <v>152</v>
      </c>
      <c r="M6" s="1" t="s">
        <v>18</v>
      </c>
      <c r="N6" s="1" t="s">
        <v>152</v>
      </c>
      <c r="O6" s="1" t="s">
        <v>165</v>
      </c>
    </row>
    <row r="7" spans="2:15">
      <c r="B7" s="1" t="s">
        <v>250</v>
      </c>
      <c r="C7" s="1" t="s">
        <v>4</v>
      </c>
      <c r="D7" s="1"/>
      <c r="F7" s="1" t="s">
        <v>256</v>
      </c>
      <c r="H7" s="1" t="s">
        <v>14</v>
      </c>
      <c r="I7" s="1" t="s">
        <v>8</v>
      </c>
      <c r="J7" s="1" t="s">
        <v>152</v>
      </c>
      <c r="K7" s="1" t="s">
        <v>11</v>
      </c>
      <c r="L7" s="1" t="s">
        <v>152</v>
      </c>
      <c r="M7" s="1" t="s">
        <v>18</v>
      </c>
      <c r="N7" s="1" t="s">
        <v>152</v>
      </c>
      <c r="O7" s="1" t="s">
        <v>155</v>
      </c>
    </row>
    <row r="8" spans="2:15">
      <c r="B8" s="1" t="s">
        <v>252</v>
      </c>
      <c r="C8" s="1" t="s">
        <v>4</v>
      </c>
      <c r="D8" s="1"/>
      <c r="F8" s="1" t="s">
        <v>176</v>
      </c>
      <c r="H8" s="1" t="s">
        <v>14</v>
      </c>
      <c r="I8" s="1" t="s">
        <v>8</v>
      </c>
      <c r="J8" s="1" t="s">
        <v>152</v>
      </c>
      <c r="K8" s="1" t="s">
        <v>11</v>
      </c>
      <c r="L8" s="1" t="s">
        <v>152</v>
      </c>
      <c r="M8" s="1" t="s">
        <v>18</v>
      </c>
      <c r="N8" s="1" t="s">
        <v>152</v>
      </c>
      <c r="O8" s="1" t="s">
        <v>154</v>
      </c>
    </row>
    <row r="9" spans="2:15">
      <c r="B9" t="s">
        <v>156</v>
      </c>
      <c r="C9" s="1" t="s">
        <v>4</v>
      </c>
      <c r="D9" s="1"/>
      <c r="F9" t="s">
        <v>128</v>
      </c>
      <c r="H9" t="s">
        <v>14</v>
      </c>
      <c r="I9" s="1" t="s">
        <v>8</v>
      </c>
      <c r="J9" s="1" t="s">
        <v>152</v>
      </c>
      <c r="K9" s="1" t="s">
        <v>11</v>
      </c>
      <c r="L9" s="1" t="s">
        <v>152</v>
      </c>
      <c r="M9" s="1" t="s">
        <v>18</v>
      </c>
      <c r="N9" s="1" t="s">
        <v>152</v>
      </c>
      <c r="O9" s="1" t="s">
        <v>157</v>
      </c>
    </row>
    <row r="10" spans="2:15">
      <c r="B10" s="1" t="s">
        <v>158</v>
      </c>
      <c r="C10" s="1" t="s">
        <v>6</v>
      </c>
      <c r="D10" s="1" t="s">
        <v>6</v>
      </c>
      <c r="E10" s="1"/>
      <c r="I10" s="1" t="s">
        <v>8</v>
      </c>
      <c r="J10" s="1" t="s">
        <v>152</v>
      </c>
      <c r="K10" s="1" t="s">
        <v>11</v>
      </c>
      <c r="L10" s="1" t="s">
        <v>152</v>
      </c>
      <c r="M10" s="1" t="s">
        <v>18</v>
      </c>
      <c r="N10" s="1" t="s">
        <v>152</v>
      </c>
      <c r="O10" s="1" t="s">
        <v>159</v>
      </c>
    </row>
    <row r="11" spans="2:15">
      <c r="B11" s="1" t="s">
        <v>160</v>
      </c>
      <c r="C11" s="1" t="s">
        <v>7</v>
      </c>
      <c r="D11" s="1" t="s">
        <v>7</v>
      </c>
      <c r="H11" t="s">
        <v>45</v>
      </c>
      <c r="I11" s="1" t="s">
        <v>8</v>
      </c>
      <c r="J11" s="1" t="s">
        <v>152</v>
      </c>
      <c r="K11" s="1" t="s">
        <v>11</v>
      </c>
      <c r="L11" s="1" t="s">
        <v>152</v>
      </c>
      <c r="M11" s="1" t="s">
        <v>18</v>
      </c>
      <c r="N11" s="1" t="s">
        <v>152</v>
      </c>
      <c r="O11" s="1" t="s">
        <v>161</v>
      </c>
    </row>
    <row r="12" spans="2:15">
      <c r="B12" s="1" t="s">
        <v>258</v>
      </c>
      <c r="C12" s="1" t="s">
        <v>4</v>
      </c>
      <c r="D12" s="1"/>
      <c r="F12" s="1" t="s">
        <v>251</v>
      </c>
      <c r="H12" s="1" t="s">
        <v>14</v>
      </c>
      <c r="I12" s="1" t="s">
        <v>8</v>
      </c>
      <c r="J12" s="1" t="s">
        <v>152</v>
      </c>
      <c r="K12" s="1" t="s">
        <v>11</v>
      </c>
      <c r="L12" s="1" t="s">
        <v>152</v>
      </c>
      <c r="M12" s="1" t="s">
        <v>18</v>
      </c>
      <c r="N12" s="1" t="s">
        <v>152</v>
      </c>
      <c r="O12" s="1" t="s">
        <v>153</v>
      </c>
    </row>
  </sheetData>
  <dataValidations count="9">
    <dataValidation allowBlank="1" showInputMessage="1" showErrorMessage="1" promptTitle="GroupName(s)" prompt="Keys to finding a Range that is a predefined 'Group&quot; of columns in the subject display table." sqref="C4" xr:uid="{00000000-0002-0000-0200-000001000000}"/>
    <dataValidation allowBlank="1" showInputMessage="1" showErrorMessage="1" promptTitle="Sort Column(s)" prompt="The name of a column in the subject table that is sorted as part of this view." sqref="I4" xr:uid="{00000000-0002-0000-0200-000002000000}"/>
    <dataValidation allowBlank="1" showInputMessage="1" showErrorMessage="1" promptTitle="Sort Order" prompt="For each named column to be sorted, this specifies the order of the sort." sqref="J4" xr:uid="{00000000-0002-0000-0200-000003000000}"/>
    <dataValidation allowBlank="1" showInputMessage="1" showErrorMessage="1" promptTitle="View Name" prompt="The lookup namee for this View." sqref="B4" xr:uid="{00000000-0002-0000-0200-000004000000}"/>
    <dataValidation allowBlank="1" showInputMessage="1" showErrorMessage="1" promptTitle="AutoFilter Name" prompt="Lookup name for an AutoFilter spec. _x000a__x000a_If a view has both an AutoFilter and a CriteriaFilter the the AutoFilter will be used." sqref="F4" xr:uid="{00000000-0002-0000-0200-000005000000}"/>
    <dataValidation allowBlank="1" showInputMessage="1" showErrorMessage="1" promptTitle="CriteriaFilter Name" prompt="Lookup name for an AutoFilter spec. _x000a__x000a_If a view has both an AutoFilter and a CriteriaFilter the the AutoFilter will be used." sqref="G4:H4" xr:uid="{00000000-0002-0000-0200-000006000000}"/>
    <dataValidation type="list" allowBlank="1" showInputMessage="1" showErrorMessage="1" sqref="C5:E12" xr:uid="{00000000-0002-0000-0200-000000000000}">
      <formula1>_GroupNames</formula1>
    </dataValidation>
    <dataValidation type="list" allowBlank="1" showInputMessage="1" showErrorMessage="1" sqref="M5:M12 K5:K12 H5:I12" xr:uid="{F717ADD5-0FFC-479F-B532-B9D9DB062557}">
      <formula1>_CagrColumns</formula1>
    </dataValidation>
    <dataValidation type="list" allowBlank="1" showInputMessage="1" showErrorMessage="1" sqref="F5:F12" xr:uid="{0E824671-81E1-4BBD-8D9A-86A3AB75BF6A}">
      <formula1>_FilterSpecs</formula1>
    </dataValidation>
  </dataValidations>
  <pageMargins left="0.7" right="0.7" top="0.75" bottom="0.75" header="0.3" footer="0.3"/>
  <pageSetup orientation="portrait" horizontalDpi="4294967293" verticalDpi="4294967293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J11"/>
  <sheetViews>
    <sheetView workbookViewId="0">
      <selection activeCell="A2" sqref="A2:F10"/>
    </sheetView>
  </sheetViews>
  <sheetFormatPr defaultColWidth="9.140625" defaultRowHeight="12.75"/>
  <cols>
    <col min="1" max="1" width="31.85546875" style="9" bestFit="1" customWidth="1"/>
    <col min="2" max="2" width="12.42578125" style="9" customWidth="1"/>
    <col min="3" max="3" width="15.42578125" style="9" bestFit="1" customWidth="1"/>
    <col min="4" max="5" width="9.140625" style="9"/>
    <col min="6" max="6" width="41.85546875" style="9" bestFit="1" customWidth="1"/>
    <col min="7" max="7" width="4.5703125" style="9" customWidth="1"/>
    <col min="8" max="8" width="16.7109375" style="9" bestFit="1" customWidth="1"/>
    <col min="9" max="9" width="17.42578125" style="9" bestFit="1" customWidth="1"/>
    <col min="10" max="16384" width="9.140625" style="9"/>
  </cols>
  <sheetData>
    <row r="1" spans="1:10">
      <c r="A1" s="8" t="s">
        <v>166</v>
      </c>
      <c r="B1" s="8" t="s">
        <v>167</v>
      </c>
      <c r="C1" s="8" t="s">
        <v>168</v>
      </c>
      <c r="D1" s="8" t="s">
        <v>169</v>
      </c>
      <c r="E1" s="8" t="s">
        <v>170</v>
      </c>
      <c r="F1" s="8" t="s">
        <v>59</v>
      </c>
      <c r="H1" s="48" t="s">
        <v>171</v>
      </c>
      <c r="I1" s="49">
        <v>45880.518182870372</v>
      </c>
      <c r="J1" s="50">
        <f>I1</f>
        <v>45880.518182870372</v>
      </c>
    </row>
    <row r="2" spans="1:10">
      <c r="A2" s="10" t="s">
        <v>4</v>
      </c>
      <c r="B2" s="10">
        <v>8</v>
      </c>
      <c r="C2" s="10" t="s">
        <v>234</v>
      </c>
      <c r="D2" s="10"/>
      <c r="E2" s="10">
        <v>2</v>
      </c>
      <c r="F2" s="10" t="s">
        <v>272</v>
      </c>
      <c r="H2" s="48" t="s">
        <v>172</v>
      </c>
      <c r="I2" s="49">
        <v>45880.518194444441</v>
      </c>
      <c r="J2" s="50">
        <f>I2</f>
        <v>45880.518194444441</v>
      </c>
    </row>
    <row r="3" spans="1:10">
      <c r="A3" s="10" t="s">
        <v>5</v>
      </c>
      <c r="B3" s="10">
        <v>19</v>
      </c>
      <c r="C3" s="10" t="s">
        <v>264</v>
      </c>
      <c r="D3" s="10"/>
      <c r="E3" s="10">
        <v>2</v>
      </c>
      <c r="F3" s="10" t="s">
        <v>265</v>
      </c>
    </row>
    <row r="4" spans="1:10">
      <c r="A4" s="10" t="s">
        <v>6</v>
      </c>
      <c r="B4" s="10">
        <v>76</v>
      </c>
      <c r="C4" s="10" t="s">
        <v>262</v>
      </c>
      <c r="D4" s="10"/>
      <c r="E4" s="10">
        <v>2</v>
      </c>
      <c r="F4" s="10" t="s">
        <v>263</v>
      </c>
    </row>
    <row r="5" spans="1:10">
      <c r="A5" s="10" t="s">
        <v>7</v>
      </c>
      <c r="B5" s="10">
        <v>88</v>
      </c>
      <c r="C5" s="10" t="s">
        <v>260</v>
      </c>
      <c r="D5" s="10"/>
      <c r="E5" s="10">
        <v>2</v>
      </c>
      <c r="F5" s="10" t="s">
        <v>261</v>
      </c>
    </row>
    <row r="6" spans="1:10">
      <c r="A6" s="10" t="s">
        <v>224</v>
      </c>
      <c r="B6" s="10">
        <v>22</v>
      </c>
      <c r="C6" s="10" t="s">
        <v>233</v>
      </c>
      <c r="D6" s="10" t="s">
        <v>5</v>
      </c>
      <c r="E6" s="10">
        <v>3</v>
      </c>
      <c r="F6" s="10" t="s">
        <v>271</v>
      </c>
    </row>
    <row r="7" spans="1:10">
      <c r="A7" s="10" t="s">
        <v>225</v>
      </c>
      <c r="B7" s="10">
        <v>29</v>
      </c>
      <c r="C7" s="10" t="s">
        <v>246</v>
      </c>
      <c r="D7" s="10" t="s">
        <v>5</v>
      </c>
      <c r="E7" s="10">
        <v>3</v>
      </c>
      <c r="F7" s="10" t="s">
        <v>270</v>
      </c>
    </row>
    <row r="8" spans="1:10">
      <c r="A8" s="10" t="s">
        <v>226</v>
      </c>
      <c r="B8" s="10">
        <v>41</v>
      </c>
      <c r="C8" s="10" t="s">
        <v>245</v>
      </c>
      <c r="D8" s="10" t="s">
        <v>5</v>
      </c>
      <c r="E8" s="10">
        <v>3</v>
      </c>
      <c r="F8" s="10" t="s">
        <v>269</v>
      </c>
    </row>
    <row r="9" spans="1:10">
      <c r="A9" s="10" t="s">
        <v>238</v>
      </c>
      <c r="B9" s="10">
        <v>47</v>
      </c>
      <c r="C9" s="10" t="s">
        <v>244</v>
      </c>
      <c r="D9" s="10" t="s">
        <v>5</v>
      </c>
      <c r="E9" s="10">
        <v>3</v>
      </c>
      <c r="F9" s="10" t="s">
        <v>268</v>
      </c>
    </row>
    <row r="10" spans="1:10">
      <c r="A10" s="10" t="s">
        <v>223</v>
      </c>
      <c r="B10" s="10">
        <v>57</v>
      </c>
      <c r="C10" s="10" t="s">
        <v>266</v>
      </c>
      <c r="D10" s="10" t="s">
        <v>5</v>
      </c>
      <c r="E10" s="10">
        <v>3</v>
      </c>
      <c r="F10" s="10" t="s">
        <v>267</v>
      </c>
    </row>
    <row r="11" spans="1:10">
      <c r="A11" s="1" t="s">
        <v>102</v>
      </c>
      <c r="B11" s="1">
        <f>SUBTOTAL(103,tblGroupNames[Order])</f>
        <v>9</v>
      </c>
      <c r="C11" s="1"/>
      <c r="D11" s="1"/>
      <c r="E11" s="1"/>
      <c r="F11" s="1"/>
    </row>
  </sheetData>
  <pageMargins left="0.7" right="0.7" top="0.75" bottom="0.75" header="0.3" footer="0.3"/>
  <pageSetup orientation="portrait" horizontalDpi="4294967293" verticalDpi="4294967293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"/>
  <sheetViews>
    <sheetView workbookViewId="0">
      <selection activeCell="E7" sqref="E7"/>
    </sheetView>
  </sheetViews>
  <sheetFormatPr defaultRowHeight="12.75"/>
  <cols>
    <col min="1" max="1" width="25" bestFit="1" customWidth="1"/>
    <col min="2" max="2" width="17.42578125" bestFit="1" customWidth="1"/>
  </cols>
  <sheetData>
    <row r="1" spans="1:2" s="11" customFormat="1">
      <c r="A1" s="1"/>
      <c r="B1" s="1"/>
    </row>
  </sheetData>
  <pageMargins left="0.7" right="0.7" top="0.75" bottom="0.75" header="0.3" footer="0.3"/>
  <pageSetup orientation="portrait" horizontalDpi="4294967293" verticalDpi="4294967293" r:id="rId1"/>
</worksheet>
</file>

<file path=customUI/customUI14.xml><?xml version="1.0" encoding="utf-8"?>
<customUI xmlns="http://schemas.microsoft.com/office/2009/07/customui" onLoad="Ribbon_OnLoad">
  <ribbon>
    <tabs>
      <tab id="TabEbfMarkets" label="EBF Markets">
        <group id="GroupUtilities" label="Utilities">
          <box id="ColumnWidthBox" boxStyle="horizontal">
            <button id="BtnDecreaseColWidth" imageMso="MailMergeGoToPreviousRecord" screentip="Decrease Column Width" onAction="OnIncDecColWidth" tag="DecreaseColumnWidth"/>
            <editBox id="EditBoxIncrement" sizeString="xxxxxxx" maxLength="4" screentip="Set Column Width Increment" getText="GetIncrementByText" onChange="OnIncrementChange"/>
            <button id="BtnIncreaseColWidth" imageMso="MailMergeGoToNextRecord" screentip="Increase Column Width" onAction="OnIncDecColWidth" tag="IncreaseColumnWidth"/>
          </box>
          <box id="RowHeightBox" boxStyle="horizontal">
            <button id="BtnRowHeightsFixFillUpWastedSpace" imageMso="RowHeight" screentip="Adjust Height For All Rows" onAction="OnSetRowHeights"/>
            <editBox id="EditBoxRowHeight" sizeString="xxxxxxx" maxLength="5" screentip="Set Row Height" getText="GetRowHeightText" onChange="OnRowHeightChange"/>
            <button id="BtnRowHeightsFix" imageMso="RowHeight" screentip="Adjust Height For All Rows" onAction="OnSetRowHeights"/>
          </box>
          <button id="BtnFormatColumns" imageMso="FormatPainter" label="Format Columns" screentip="Format entire ListColumn(s) based on the current selection" onAction="ApplySelectedFormatToColumns"/>
          <button id="BtnFixActiveHyperlinks" imageMso="HyperlinkEdit" label="Fix Active Hyperlinks" screentip="Fix the selected Entry and Exit URL Hyperlinks" onAction="Fix_ActiveHyperlinks"/>
          <button id="BtnSwitchToTestEnvironment" imageMso="R" label="Reset Test Environment" screentip="Update TestCAGR before closing CAGR and switching to TestCAGR" onAction="SwitchToTestEnvironment"/>
          <button id="BtnUnitTest" imageMso="U" label="Unit Test" screentip="Open unit tests for TestCAGR" onAction="UnitTest"/>
          <dropDown id="DDwnAspectSheets" label="Sheets" getItemCount="GetSheetItemCount" getItemLabel="GetSheetItemLabel" onAction="OnChangeSheetAction" getSelectedItemIndex="GetSheetItemSelectedIndex"/>
          <button id="BtnTimestamp" imageMso="DateAndTimeInsert" label="Timestamp" screentip="Timestamps the active cell" onAction="ApplyTimestamp"/>
          <button id="BtnGenerateGuids" imageMso="MacroArguments" label="Generate Guids" screentip="Generate Guids for all selected rows" onAction="OnGenerateGuids"/>
        </group>
        <group id="ColumnNavigation" label="Column Navigation">
          <button id="BtnDocumentColumn" imageMso="DataValidation" label="Document usage" screentip="Prepares a DataValidation dialog (ALT-D,L)" onAction="OnDocumentColumn"/>
          <box id="BoxPromoteDemote" boxStyle="horizontal">
            <button id="BtnPromote" imageMso="OutlinePromote" label="Promote" screentip="Promote the selected group to a higher level" onAction="OnOutlineCommand"/>
            <button id="BtnDemote" imageMso="OutlineDemote" label="Demote" screentip="Demote the selected group to a lower level" onAction="OnOutlineCommand"/>
          </box>
          <box id="BoxTableNavigation" boxStyle="horizontal">
            <button id="BtnFirstCol" imageMso="MailMergeGoToFirstRecord" screentip="Select the first column" onAction="OnSelectTableColumn"/>
            <button id="BtnPrevCol" imageMso="MailMergeGoToPreviousRecord" screentip="Select the previous column" onAction="OnSelectTableColumn"/>
            <dropDown id="DDwnColumnNames" getItemCount="GetColumnNameCount" getItemLabel="GetColumnNameLabel" screentip="Select a table column" onAction="OnChangeGetColumnNameAction" getSelectedItemIndex="GetColumnNameIndex"/>
            <button id="BtnNextCol" imageMso="MailMergeGoToNextRecord" screentip="Select the next column" onAction="OnSelectTableColumn"/>
            <button id="BtnLastCol" imageMso="MailMergeGotToLastRecord" screentip="Select the last column" onAction="OnSelectTableColumn"/>
          </box>
        </group>
        <group id="GroupingNavigation" label="Grouping Navigation">
          <box id="BoxGroupPersistence" boxStyle="horizontal">
            <button id="BtnValidate" imageMso="Clear" label="Validate" screentip="Validate that Groupings are ok to save" onAction="OnGroupingManagementCommand"/>
            <button id="BtnReinitialize" imageMso="CacheListData" label="Reinitialize" screentip="Persist current groupings for use with Views" onAction="OnGroupingManagementCommand"/>
          </box>
          <box id="BoxGroupNavigation" boxStyle="horizontal">
            <button id="BtnFirstGroup" imageMso="MailMergeGoToFirstRecord" screentip="Select the first group" onAction="OnSelectGrouping"/>
            <button id="BtnPrevGroup" imageMso="MailMergeGoToPreviousRecord" screentip="Select the previous group" onAction="OnSelectGrouping"/>
            <dropDown id="DDwnGroupNames" getItemCount="GetGroupNameCount" getItemLabel="GetGroupNameLabel" screentip="Select a grouping" onAction="OnChangeGetGroupNameAction" getSelectedItemIndex="GetGroupNameIndex"/>
            <button id="BtnNextGroup" imageMso="MailMergeGoToNextRecord" screentip="Select the next group" onAction="OnSelectGrouping"/>
            <button id="BtnLastGroup" imageMso="MailMergeGotToLastRecord" screentip="Select the last group" onAction="OnSelectGrouping"/>
          </box>
        </group>
        <group id="GroupViews" label="Views">
          <dropDown id="DDwnViews" getItemCount="GetViewItemCount" getItemLabel="GetViewItemLabel" onAction="OnChangeViewAction" getSelectedItemIndex="GetViewItemSelectedIndex"/>
          <checkBox id="CBxUseOutlining" getPressed="IsOutliningOn" label="Outlining" screentip="If True, display outlining as part of view. If False, save space by hiding it." onAction="UseOutlining"/>
          <button id="BtnRefreshView" label="Refresh View" onAction="RefreshSelectedView" imageMso="Refresh" size="large" getScreentip="GetRefreshViewScreentip"/>
        </group>
        <group id="FiltersMenu" label="Filters">
          <dropDown id="DDwnSymbols" label="Symbols" getItemCount="GetTradeFilterCount" getItemLabel="GetTradeFilterLabel" getSelectedItemIndex="GetSelectedTradeFilterIndex" getEnabled="IsAppyTradeFilterEnabled" onAction="OnTradeFilterChange"/>
          <dropDown id="DDwnTrades" label="Trades" getItemCount="GetTradeFilterCount" getItemLabel="GetTradeFilterLabel" getSelectedItemIndex="GetSelectedTradeFilterIndex" getEnabled="IsAppyTradeFilterEnabled" onAction="OnTradeFilterChange"/>
          <button id="BtnReiniSymbols" imageMso="Clear" label="Reinitialize" screentip="Reinitialize the Symbol Drop Down" getEnabled="IsAppyTradeFilterEnabled" onAction="OnReinitializeTradeFilter"/>
          <button id="BtnApplySymbolFilter" imageMso="FilterToggleFilter" size="large" label="Apply Trade Filter" screentip="Apply Symbol and Trade ID Filters" tag="SymbolTradeFilterView" getEnabled="IsAppyTradeFilterEnabled" onAction="OnApplyTradeFilter"/>
        </group>
        <group id="TradeManagementMenu" label="Trade Management">
          <button id="BtnAddItem" imageMso="DataFormAddRecord" size="large" label="Add" getEnabled="IsAddItemEnabled" onAction="OnAddItem"/>
          <button id="BtnCloseOut" imageMso="PrintPreviewClose" size="large" label="Close Out" screentip="Close out the selected trade" getEnabled="IsCloseOutEnabled" onAction="OnCloseOut"/>
          <button id="BtnOpenForm" imageMso="FormsMenu" size="large" label="Show Form" screentip="Show the trade management form" getEnabled="IsOpenFormEnabled" onAction="OnOpenForm"/>
        </group>
        <group id="TableeManagementMenu" label="Table Ops">
          <button id="BtnSort" imageMso="SortDialog" size="large" label="Sort Table" onAction="SortTable"/>
        </group>
        <group id="TabAppsGrouping" label="Apps">
          <button id="BtnLaunchCagrSummary" imageMso="MicrosoftExcel" size="large" label="CAGR Summary" screentip="Launch the CAGR Performance Summary spreadsheet" onAction="LaunchCagrSummary"/>
          <button id="BtnLaunchSnapshot" imageMso="MicrosoftExcel" size="large" label="Snapshot" screentip="Launch the Snapshot spreadsheet" onAction="LaunchSnapshot"/>
          <button id="BtnShutDownExcel" imageMso="CloseAllItems" size="large" label="Shut Down" screentip="Shut down Excel" onAction="ShutDownExcel"/>
        </group>
        <group idMso="GroupCalculation"/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41</vt:i4>
      </vt:variant>
    </vt:vector>
  </HeadingPairs>
  <TitlesOfParts>
    <vt:vector size="46" baseType="lpstr">
      <vt:lpstr>CAGR</vt:lpstr>
      <vt:lpstr>AutoFilters</vt:lpstr>
      <vt:lpstr>Views</vt:lpstr>
      <vt:lpstr>Groupings</vt:lpstr>
      <vt:lpstr>UiSettings</vt:lpstr>
      <vt:lpstr>_CagrColumns</vt:lpstr>
      <vt:lpstr>CAGR!_Total_ACB_Shares</vt:lpstr>
      <vt:lpstr>AutoFilters!AllActivePositions</vt:lpstr>
      <vt:lpstr>CAGR!CashPotential</vt:lpstr>
      <vt:lpstr>CAGR!CashRealized</vt:lpstr>
      <vt:lpstr>CAGR!CashTacticallyAvailable</vt:lpstr>
      <vt:lpstr>CAGR!CashUnrealized</vt:lpstr>
      <vt:lpstr>AutoFilters!CoveredCallExpirationAnalysis</vt:lpstr>
      <vt:lpstr>CAGR!Criteria</vt:lpstr>
      <vt:lpstr>CAGR!HasOpenTrades</vt:lpstr>
      <vt:lpstr>AutoFilters!LngOnly</vt:lpstr>
      <vt:lpstr>CAGR!MC_Basis</vt:lpstr>
      <vt:lpstr>MockToday</vt:lpstr>
      <vt:lpstr>CAGR!OpenShareEquivalents</vt:lpstr>
      <vt:lpstr>CAGR!PerfBasis</vt:lpstr>
      <vt:lpstr>CAGR!PerfDate_End</vt:lpstr>
      <vt:lpstr>CAGR!PerfDate_Start</vt:lpstr>
      <vt:lpstr>CAGR!PerfGainLoss</vt:lpstr>
      <vt:lpstr>CAGR!PerfProceeds</vt:lpstr>
      <vt:lpstr>CAGR!PerfRoi_Annualized</vt:lpstr>
      <vt:lpstr>CAGR!PerfRoi_CAGR</vt:lpstr>
      <vt:lpstr>CAGR!PerfRoi_Simple</vt:lpstr>
      <vt:lpstr>CAGR!PerfTerm_Days</vt:lpstr>
      <vt:lpstr>CAGR!PerfTerm_Years</vt:lpstr>
      <vt:lpstr>CAGR!ProjectedEndingValue</vt:lpstr>
      <vt:lpstr>CAGR!SymbolVisible</vt:lpstr>
      <vt:lpstr>CAGR!TacticalAcb</vt:lpstr>
      <vt:lpstr>CAGR!TacticalBasis</vt:lpstr>
      <vt:lpstr>CAGR!TacticalEnd</vt:lpstr>
      <vt:lpstr>CAGR!TacticalGainLoss</vt:lpstr>
      <vt:lpstr>CAGR!TacticalStart</vt:lpstr>
      <vt:lpstr>CAGR!TacticalTerm_Days</vt:lpstr>
      <vt:lpstr>CAGR!TacticalTerm_Years</vt:lpstr>
      <vt:lpstr>CAGR!TaxBasis</vt:lpstr>
      <vt:lpstr>CAGR!TaxDate_End</vt:lpstr>
      <vt:lpstr>CAGR!TaxDate_Start</vt:lpstr>
      <vt:lpstr>CAGR!TaxGainLoss</vt:lpstr>
      <vt:lpstr>CAGR!TaxProceeds</vt:lpstr>
      <vt:lpstr>CAGR!TaxTerm_Days</vt:lpstr>
      <vt:lpstr>CAGR!TaxTerm_Years</vt:lpstr>
      <vt:lpstr>CAGR!TotalBasis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Lord &amp; Master</dc:creator>
  <cp:keywords/>
  <dc:description/>
  <cp:lastModifiedBy>Eric Fingerhut</cp:lastModifiedBy>
  <cp:revision/>
  <dcterms:created xsi:type="dcterms:W3CDTF">2013-10-05T13:12:49Z</dcterms:created>
  <dcterms:modified xsi:type="dcterms:W3CDTF">2026-08-23T10:02:40Z</dcterms:modified>
  <cp:category/>
  <cp:contentStatus/>
</cp:coreProperties>
</file>